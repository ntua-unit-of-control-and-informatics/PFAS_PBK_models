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Documents/NTUA Post-Doc/CHIASMA/PFOA extrapolation humans/Data/"/>
    </mc:Choice>
  </mc:AlternateContent>
  <xr:revisionPtr revIDLastSave="0" documentId="13_ncr:1_{8F90F993-CE42-5E48-A66F-BB88FFE4EACA}" xr6:coauthVersionLast="47" xr6:coauthVersionMax="47" xr10:uidLastSave="{00000000-0000-0000-0000-000000000000}"/>
  <bookViews>
    <workbookView xWindow="1040" yWindow="680" windowWidth="28360" windowHeight="1844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J8" i="1"/>
  <c r="N7" i="1"/>
  <c r="N6" i="1"/>
  <c r="C2" i="1"/>
  <c r="C3" i="1"/>
  <c r="C4" i="1"/>
  <c r="C5" i="1"/>
  <c r="C6" i="1"/>
  <c r="C7" i="1"/>
  <c r="C8" i="1"/>
  <c r="C9" i="1"/>
  <c r="C10" i="1"/>
  <c r="C11" i="1"/>
  <c r="C12" i="1"/>
  <c r="C13" i="1"/>
  <c r="F2" i="1"/>
</calcChain>
</file>

<file path=xl/sharedStrings.xml><?xml version="1.0" encoding="utf-8"?>
<sst xmlns="http://schemas.openxmlformats.org/spreadsheetml/2006/main" count="51" uniqueCount="16">
  <si>
    <t>Tissue</t>
  </si>
  <si>
    <t>Type</t>
  </si>
  <si>
    <t>ug</t>
  </si>
  <si>
    <t>Dose_ug</t>
  </si>
  <si>
    <t>dose (mass)</t>
  </si>
  <si>
    <t>absorbed</t>
  </si>
  <si>
    <t>oral</t>
  </si>
  <si>
    <t>Feces</t>
  </si>
  <si>
    <t>feces_mass (g)</t>
  </si>
  <si>
    <t>na</t>
  </si>
  <si>
    <t>a) Amounts of feces not relevant for data evaluation (amounts of PFAS in a single portion do not represent the daily excretion)</t>
  </si>
  <si>
    <t>concentration (ng/g)</t>
  </si>
  <si>
    <t>mode</t>
  </si>
  <si>
    <t>repeated</t>
  </si>
  <si>
    <t>Time_h</t>
  </si>
  <si>
    <t>Mass_(ng)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</si>
</sst>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7" formatCode="0.000000"/>
  </numFmts>
  <fonts count="5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0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4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P14"/>
  <sheetViews>
    <sheetView tabSelected="1" zoomScale="112" zoomScaleNormal="112" workbookViewId="0">
      <selection activeCell="K11" sqref="J11:K17"/>
    </sheetView>
  </sheetViews>
  <sheetFormatPr baseColWidth="10" defaultRowHeight="15" x14ac:dyDescent="0.2"/>
  <cols>
    <col min="1" max="1" width="10.83203125" style="3"/>
    <col min="2" max="2" width="12.6640625" style="2" bestFit="1" customWidth="1"/>
    <col min="3" max="4" width="12.6640625" style="2" customWidth="1"/>
    <col min="5" max="5" width="19.33203125" style="3" customWidth="1"/>
    <col min="6" max="6" width="13.83203125" style="3" bestFit="1" customWidth="1"/>
    <col min="7" max="16384" width="10.83203125" style="3"/>
  </cols>
  <sheetData>
    <row r="1" spans="1:16" x14ac:dyDescent="0.2">
      <c r="A1" s="2" t="s">
        <v>0</v>
      </c>
      <c r="B1" s="2" t="s">
        <v>14</v>
      </c>
      <c r="C1" s="2" t="s">
        <v>15</v>
      </c>
      <c r="D1" s="2" t="s">
        <v>8</v>
      </c>
      <c r="E1" s="2" t="s">
        <v>11</v>
      </c>
      <c r="F1" s="1" t="s">
        <v>3</v>
      </c>
      <c r="G1" s="2" t="s">
        <v>1</v>
      </c>
      <c r="H1" s="2" t="s">
        <v>12</v>
      </c>
      <c r="I1" s="2"/>
      <c r="J1" s="2" t="s">
        <v>4</v>
      </c>
      <c r="K1" s="2">
        <v>3.96</v>
      </c>
      <c r="L1" s="2" t="s">
        <v>2</v>
      </c>
    </row>
    <row r="2" spans="1:16" ht="16" x14ac:dyDescent="0.2">
      <c r="A2" s="3" t="s">
        <v>7</v>
      </c>
      <c r="B2" s="6">
        <v>60</v>
      </c>
      <c r="C2" s="7">
        <f>D2*E2</f>
        <v>0.6115149240364145</v>
      </c>
      <c r="D2" s="6">
        <v>260</v>
      </c>
      <c r="E2" s="8">
        <v>2.3519804770631325E-3</v>
      </c>
      <c r="F2" s="5">
        <f>3.96*0.04/100</f>
        <v>1.5840000000000001E-3</v>
      </c>
      <c r="G2" s="2" t="s">
        <v>6</v>
      </c>
      <c r="H2" s="2" t="s">
        <v>13</v>
      </c>
      <c r="I2" s="2"/>
      <c r="J2" s="2" t="s">
        <v>5</v>
      </c>
      <c r="K2" s="4">
        <v>4.0000000000000002E-4</v>
      </c>
      <c r="L2" s="2"/>
    </row>
    <row r="3" spans="1:16" ht="16" x14ac:dyDescent="0.2">
      <c r="A3" s="3" t="s">
        <v>7</v>
      </c>
      <c r="B3" s="6">
        <v>120</v>
      </c>
      <c r="C3" s="7">
        <f t="shared" ref="C3:C13" si="0">D3*E3</f>
        <v>0.60388741183260231</v>
      </c>
      <c r="D3" s="6">
        <v>162</v>
      </c>
      <c r="E3" s="8">
        <v>3.7277000730407549E-3</v>
      </c>
      <c r="F3" s="5">
        <v>1.5840000000000001E-3</v>
      </c>
      <c r="G3" s="2" t="s">
        <v>6</v>
      </c>
      <c r="H3" s="2" t="s">
        <v>13</v>
      </c>
      <c r="I3" s="2"/>
      <c r="J3" s="2"/>
      <c r="K3" s="2"/>
      <c r="L3" s="2"/>
    </row>
    <row r="4" spans="1:16" ht="16" x14ac:dyDescent="0.2">
      <c r="A4" s="3" t="s">
        <v>7</v>
      </c>
      <c r="B4" s="6">
        <v>180</v>
      </c>
      <c r="C4" s="7">
        <f t="shared" si="0"/>
        <v>0.47049627352340628</v>
      </c>
      <c r="D4" s="6">
        <v>328</v>
      </c>
      <c r="E4" s="8">
        <v>1.434439858303068E-3</v>
      </c>
      <c r="F4" s="5">
        <v>1.5840000000000001E-3</v>
      </c>
      <c r="G4" s="2" t="s">
        <v>6</v>
      </c>
      <c r="H4" s="2" t="s">
        <v>13</v>
      </c>
      <c r="I4" s="2"/>
      <c r="J4" s="2" t="s">
        <v>9</v>
      </c>
      <c r="K4" s="3" t="s">
        <v>10</v>
      </c>
    </row>
    <row r="5" spans="1:16" ht="16" x14ac:dyDescent="0.2">
      <c r="A5" s="3" t="s">
        <v>7</v>
      </c>
      <c r="B5" s="6">
        <v>240</v>
      </c>
      <c r="C5" s="7">
        <f t="shared" si="0"/>
        <v>0.51750168663250129</v>
      </c>
      <c r="D5" s="6">
        <v>202</v>
      </c>
      <c r="E5" s="8">
        <v>2.5618895377846596E-3</v>
      </c>
      <c r="F5" s="5">
        <v>1.5840000000000001E-3</v>
      </c>
      <c r="G5" s="2" t="s">
        <v>6</v>
      </c>
      <c r="H5" s="2" t="s">
        <v>13</v>
      </c>
      <c r="I5" s="2"/>
    </row>
    <row r="6" spans="1:16" ht="16" x14ac:dyDescent="0.2">
      <c r="A6" s="3" t="s">
        <v>7</v>
      </c>
      <c r="B6" s="6">
        <v>300</v>
      </c>
      <c r="C6" s="7">
        <f t="shared" si="0"/>
        <v>0.6680692063407031</v>
      </c>
      <c r="D6" s="6">
        <v>248</v>
      </c>
      <c r="E6" s="8">
        <v>2.69382744492219E-3</v>
      </c>
      <c r="F6" s="5">
        <v>1.5840000000000001E-3</v>
      </c>
      <c r="G6" s="2" t="s">
        <v>6</v>
      </c>
      <c r="H6" s="2" t="s">
        <v>13</v>
      </c>
      <c r="I6" s="2"/>
      <c r="L6" s="3" t="s">
        <v>7</v>
      </c>
      <c r="M6" s="6">
        <v>25260</v>
      </c>
      <c r="N6" s="7">
        <f t="shared" ref="N6:N7" si="1">O6*P6</f>
        <v>0.17409044362888124</v>
      </c>
      <c r="O6" s="6">
        <v>58</v>
      </c>
      <c r="P6" s="9">
        <v>3.0015593729117453E-3</v>
      </c>
    </row>
    <row r="7" spans="1:16" ht="16" x14ac:dyDescent="0.2">
      <c r="A7" s="3" t="s">
        <v>7</v>
      </c>
      <c r="B7" s="6">
        <v>360</v>
      </c>
      <c r="C7" s="7">
        <f t="shared" si="0"/>
        <v>0.4149654833040059</v>
      </c>
      <c r="D7" s="6">
        <v>90</v>
      </c>
      <c r="E7" s="8">
        <v>4.6107275922667324E-3</v>
      </c>
      <c r="F7" s="5">
        <v>1.5840000000000001E-3</v>
      </c>
      <c r="G7" s="2" t="s">
        <v>6</v>
      </c>
      <c r="H7" s="2" t="s">
        <v>13</v>
      </c>
      <c r="I7" s="2"/>
      <c r="L7" s="3" t="s">
        <v>7</v>
      </c>
      <c r="M7" s="6">
        <v>25272</v>
      </c>
      <c r="N7" s="7">
        <f t="shared" si="1"/>
        <v>0.42181266608303891</v>
      </c>
      <c r="O7" s="6">
        <v>124</v>
      </c>
      <c r="P7" s="9">
        <v>3.4017150490567656E-3</v>
      </c>
    </row>
    <row r="8" spans="1:16" ht="16" x14ac:dyDescent="0.2">
      <c r="A8" s="3" t="s">
        <v>7</v>
      </c>
      <c r="B8" s="6">
        <v>25260</v>
      </c>
      <c r="C8" s="7">
        <f t="shared" si="0"/>
        <v>0.18569495823708707</v>
      </c>
      <c r="D8" s="6">
        <v>58</v>
      </c>
      <c r="E8" s="10">
        <f>(0.00300155937291175+0.00340171504905677)/2</f>
        <v>3.2016372109842598E-3</v>
      </c>
      <c r="F8" s="5">
        <v>1.5840000000000001E-3</v>
      </c>
      <c r="G8" s="2" t="s">
        <v>6</v>
      </c>
      <c r="H8" s="2" t="s">
        <v>13</v>
      </c>
      <c r="I8" s="2"/>
      <c r="J8" s="3">
        <f>(0.00300155937291175+0.00340171504905677)/2</f>
        <v>3.2016372109842598E-3</v>
      </c>
    </row>
    <row r="9" spans="1:16" ht="16" x14ac:dyDescent="0.2">
      <c r="A9" s="3" t="s">
        <v>7</v>
      </c>
      <c r="B9" s="6">
        <v>25320</v>
      </c>
      <c r="C9" s="7">
        <f t="shared" si="0"/>
        <v>0.12208594603311011</v>
      </c>
      <c r="D9" s="6">
        <v>225</v>
      </c>
      <c r="E9" s="9">
        <v>5.4260420459160052E-4</v>
      </c>
      <c r="F9" s="5">
        <v>1.5840000000000001E-3</v>
      </c>
      <c r="G9" s="2" t="s">
        <v>6</v>
      </c>
      <c r="H9" s="2" t="s">
        <v>13</v>
      </c>
      <c r="I9" s="2"/>
    </row>
    <row r="10" spans="1:16" ht="16" x14ac:dyDescent="0.2">
      <c r="A10" s="3" t="s">
        <v>7</v>
      </c>
      <c r="B10" s="6">
        <v>25380</v>
      </c>
      <c r="C10" s="7">
        <f t="shared" si="0"/>
        <v>0.22692370262187819</v>
      </c>
      <c r="D10" s="6">
        <v>263</v>
      </c>
      <c r="E10" s="9">
        <v>8.6282776662311095E-4</v>
      </c>
      <c r="F10" s="5">
        <v>1.5840000000000001E-3</v>
      </c>
      <c r="G10" s="2" t="s">
        <v>6</v>
      </c>
      <c r="H10" s="2" t="s">
        <v>13</v>
      </c>
      <c r="I10" s="2"/>
    </row>
    <row r="11" spans="1:16" ht="16" x14ac:dyDescent="0.2">
      <c r="A11" s="3" t="s">
        <v>7</v>
      </c>
      <c r="B11" s="6">
        <v>25440</v>
      </c>
      <c r="C11" s="7">
        <f t="shared" si="0"/>
        <v>0.14105100242480412</v>
      </c>
      <c r="D11" s="6">
        <v>165</v>
      </c>
      <c r="E11" s="9">
        <v>8.5485456015032798E-4</v>
      </c>
      <c r="F11" s="5">
        <v>1.5840000000000001E-3</v>
      </c>
      <c r="G11" s="2" t="s">
        <v>6</v>
      </c>
      <c r="H11" s="2" t="s">
        <v>13</v>
      </c>
      <c r="I11" s="2"/>
    </row>
    <row r="12" spans="1:16" ht="16" x14ac:dyDescent="0.2">
      <c r="A12" s="3" t="s">
        <v>7</v>
      </c>
      <c r="B12" s="6">
        <v>25500</v>
      </c>
      <c r="C12" s="7">
        <f t="shared" si="0"/>
        <v>0.34501995304756167</v>
      </c>
      <c r="D12" s="6">
        <v>142</v>
      </c>
      <c r="E12" s="9">
        <v>2.4297179792081808E-3</v>
      </c>
      <c r="F12" s="5">
        <v>1.5840000000000001E-3</v>
      </c>
      <c r="G12" s="2" t="s">
        <v>6</v>
      </c>
      <c r="H12" s="2" t="s">
        <v>13</v>
      </c>
      <c r="I12" s="2"/>
    </row>
    <row r="13" spans="1:16" ht="16" x14ac:dyDescent="0.2">
      <c r="A13" s="3" t="s">
        <v>7</v>
      </c>
      <c r="B13" s="6">
        <v>25560</v>
      </c>
      <c r="C13" s="7">
        <f t="shared" si="0"/>
        <v>0.13523370986656882</v>
      </c>
      <c r="D13" s="6">
        <v>226</v>
      </c>
      <c r="E13" s="9">
        <v>5.9837924719720716E-4</v>
      </c>
      <c r="F13" s="5">
        <v>1.5840000000000001E-3</v>
      </c>
      <c r="G13" s="2" t="s">
        <v>6</v>
      </c>
      <c r="H13" s="2" t="s">
        <v>13</v>
      </c>
      <c r="I13" s="2"/>
    </row>
    <row r="14" spans="1:16" x14ac:dyDescent="0.2">
      <c r="H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2025-12-01T11:21:46Z</dcterms:modified>
</cp:coreProperties>
</file>