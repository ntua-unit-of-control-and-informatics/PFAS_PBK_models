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Abraham 2024/SM_Abraham et al.2024/"/>
    </mc:Choice>
  </mc:AlternateContent>
  <xr:revisionPtr revIDLastSave="0" documentId="13_ncr:1_{551CDE70-4246-DB4C-AAFC-AB7D35E45832}" xr6:coauthVersionLast="47" xr6:coauthVersionMax="47" xr10:uidLastSave="{00000000-0000-0000-0000-000000000000}"/>
  <bookViews>
    <workbookView xWindow="1040" yWindow="680" windowWidth="28360" windowHeight="18440" xr2:uid="{D0C5C78F-B6DC-4ACB-AC09-8541556CC654}"/>
  </bookViews>
  <sheets>
    <sheet name="plasma" sheetId="6" r:id="rId1"/>
    <sheet name="feces" sheetId="2" r:id="rId2"/>
    <sheet name="ur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3" i="3"/>
</calcChain>
</file>

<file path=xl/sharedStrings.xml><?xml version="1.0" encoding="utf-8"?>
<sst xmlns="http://schemas.openxmlformats.org/spreadsheetml/2006/main" count="759" uniqueCount="174">
  <si>
    <t>MPFBA</t>
  </si>
  <si>
    <t>MPFHxA</t>
  </si>
  <si>
    <t>MPFNA</t>
  </si>
  <si>
    <t>MPFDoA</t>
  </si>
  <si>
    <t>PFBS</t>
  </si>
  <si>
    <t>MPFHxS</t>
  </si>
  <si>
    <t>6:2FTS</t>
  </si>
  <si>
    <t>urine 2</t>
  </si>
  <si>
    <t>urine 3</t>
  </si>
  <si>
    <t>urine 4</t>
  </si>
  <si>
    <t>urine 5</t>
  </si>
  <si>
    <t>urine 6</t>
  </si>
  <si>
    <t>urine 7</t>
  </si>
  <si>
    <t>urine 8</t>
  </si>
  <si>
    <t>urine 9</t>
  </si>
  <si>
    <t>urine 10</t>
  </si>
  <si>
    <t>urine 11</t>
  </si>
  <si>
    <t>urine 12</t>
  </si>
  <si>
    <t>urine 13</t>
  </si>
  <si>
    <t>urine 14</t>
  </si>
  <si>
    <t>urine 15</t>
  </si>
  <si>
    <t>urine 16</t>
  </si>
  <si>
    <t>urine 17</t>
  </si>
  <si>
    <t>urine 18</t>
  </si>
  <si>
    <t>urine 19</t>
  </si>
  <si>
    <t>urine 20</t>
  </si>
  <si>
    <t>urine 21</t>
  </si>
  <si>
    <t>urine 22</t>
  </si>
  <si>
    <t>urine 23</t>
  </si>
  <si>
    <t>urine 24</t>
  </si>
  <si>
    <t>urine 25</t>
  </si>
  <si>
    <t>urine 26</t>
  </si>
  <si>
    <t>urine 27</t>
  </si>
  <si>
    <t>urine 1</t>
  </si>
  <si>
    <t>ADME_1</t>
  </si>
  <si>
    <t>ADME_2</t>
  </si>
  <si>
    <t>ADME_3</t>
  </si>
  <si>
    <t>ADME_4</t>
  </si>
  <si>
    <t>ADME_5</t>
  </si>
  <si>
    <t>ADME_6</t>
  </si>
  <si>
    <t>ADME_7</t>
  </si>
  <si>
    <t>ADME_8</t>
  </si>
  <si>
    <t>ADME_9</t>
  </si>
  <si>
    <t>ADME_10</t>
  </si>
  <si>
    <t>ADME_11</t>
  </si>
  <si>
    <t>ADME_12</t>
  </si>
  <si>
    <t>ADME_13</t>
  </si>
  <si>
    <t>ADME_14</t>
  </si>
  <si>
    <t>ADME_15</t>
  </si>
  <si>
    <t>ADME_16</t>
  </si>
  <si>
    <t>ADME_17</t>
  </si>
  <si>
    <t>ADME_18</t>
  </si>
  <si>
    <t>ADME_19</t>
  </si>
  <si>
    <t>ADME_20</t>
  </si>
  <si>
    <t>ADME_21</t>
  </si>
  <si>
    <t>ADME_22</t>
  </si>
  <si>
    <t>ADME_23</t>
  </si>
  <si>
    <t>ADME_24</t>
  </si>
  <si>
    <t>ADME_25</t>
  </si>
  <si>
    <t>ADME_26</t>
  </si>
  <si>
    <t>ADME_27</t>
  </si>
  <si>
    <t>ADME_28</t>
  </si>
  <si>
    <t>ADME_29</t>
  </si>
  <si>
    <t>ADME_30</t>
  </si>
  <si>
    <t>ADME_31</t>
  </si>
  <si>
    <t>ADME_32</t>
  </si>
  <si>
    <t>ADME_33</t>
  </si>
  <si>
    <t>ADME_34</t>
  </si>
  <si>
    <t>ADME_35</t>
  </si>
  <si>
    <t>ADME_36</t>
  </si>
  <si>
    <t>ADME_37</t>
  </si>
  <si>
    <t>ADME_38</t>
  </si>
  <si>
    <t>ADME_39</t>
  </si>
  <si>
    <t>ADME_40</t>
  </si>
  <si>
    <t>ADME_41</t>
  </si>
  <si>
    <t>ADME_42</t>
  </si>
  <si>
    <t>ADME_43</t>
  </si>
  <si>
    <t>ADME_44</t>
  </si>
  <si>
    <t>ADME_45</t>
  </si>
  <si>
    <t>ADME_46</t>
  </si>
  <si>
    <t>ADME_47</t>
  </si>
  <si>
    <t>ADME_48</t>
  </si>
  <si>
    <t>ADME_49</t>
  </si>
  <si>
    <t>ADME_50</t>
  </si>
  <si>
    <t>ADME_51</t>
  </si>
  <si>
    <t>ADME_52</t>
  </si>
  <si>
    <t>ADME_53</t>
  </si>
  <si>
    <t>ADME_54</t>
  </si>
  <si>
    <t>ADME_55</t>
  </si>
  <si>
    <t>ADME_56</t>
  </si>
  <si>
    <t>ADME_57</t>
  </si>
  <si>
    <t>ADME_58</t>
  </si>
  <si>
    <t>ADME_59</t>
  </si>
  <si>
    <t>ADME_60</t>
  </si>
  <si>
    <t>ADME_61</t>
  </si>
  <si>
    <t>ADME_62</t>
  </si>
  <si>
    <t>ADME_63</t>
  </si>
  <si>
    <t>ADME_64</t>
  </si>
  <si>
    <t>ADME_65</t>
  </si>
  <si>
    <t>ADME_66</t>
  </si>
  <si>
    <t>ADME_67</t>
  </si>
  <si>
    <t>ADME_68</t>
  </si>
  <si>
    <t>ADME_69</t>
  </si>
  <si>
    <t>ADME_70</t>
  </si>
  <si>
    <t>ADME_71</t>
  </si>
  <si>
    <t>ADME_72</t>
  </si>
  <si>
    <t>ADME_73</t>
  </si>
  <si>
    <t>ADME_74</t>
  </si>
  <si>
    <t>ADME_75</t>
  </si>
  <si>
    <t>ADME_76</t>
  </si>
  <si>
    <t>ADME_77</t>
  </si>
  <si>
    <t>ADME_78</t>
  </si>
  <si>
    <t>ADME_79</t>
  </si>
  <si>
    <t>ADME_80</t>
  </si>
  <si>
    <t>ADME_81</t>
  </si>
  <si>
    <t>ADME_82</t>
  </si>
  <si>
    <t>ADME_83</t>
  </si>
  <si>
    <t>ADME_84</t>
  </si>
  <si>
    <t>ADME_85</t>
  </si>
  <si>
    <t>ADME_86</t>
  </si>
  <si>
    <t>ADME_87</t>
  </si>
  <si>
    <t>ADME_88</t>
  </si>
  <si>
    <t>ADME_89</t>
  </si>
  <si>
    <t>ADME_90</t>
  </si>
  <si>
    <t>MPFPeA</t>
  </si>
  <si>
    <t>DONA</t>
  </si>
  <si>
    <t>MPFHpA</t>
  </si>
  <si>
    <t>MPFOA</t>
  </si>
  <si>
    <t>MPFDA</t>
  </si>
  <si>
    <t>MPFUdA</t>
  </si>
  <si>
    <t>MPFOS</t>
  </si>
  <si>
    <t>sample</t>
  </si>
  <si>
    <t>µg/L</t>
  </si>
  <si>
    <t>days</t>
  </si>
  <si>
    <t>Time</t>
  </si>
  <si>
    <t>day of</t>
  </si>
  <si>
    <t>collection</t>
  </si>
  <si>
    <t>feces amount (g)</t>
  </si>
  <si>
    <t>ng/g</t>
  </si>
  <si>
    <t>stool 1</t>
  </si>
  <si>
    <t>stool 2</t>
  </si>
  <si>
    <t>stool 3</t>
  </si>
  <si>
    <t>stool 4</t>
  </si>
  <si>
    <t>stool 5</t>
  </si>
  <si>
    <t>stool 6</t>
  </si>
  <si>
    <t>stool 7</t>
  </si>
  <si>
    <t>stool 8</t>
  </si>
  <si>
    <t>stool 9</t>
  </si>
  <si>
    <t>stool 10</t>
  </si>
  <si>
    <t>stool 11</t>
  </si>
  <si>
    <t>stool 12</t>
  </si>
  <si>
    <t>stool 13</t>
  </si>
  <si>
    <t>stool 14</t>
  </si>
  <si>
    <t>stool 15</t>
  </si>
  <si>
    <t>stool 16</t>
  </si>
  <si>
    <t>stool 17</t>
  </si>
  <si>
    <t>stool 18</t>
  </si>
  <si>
    <t>stool 19</t>
  </si>
  <si>
    <t>HFPO-DA</t>
  </si>
  <si>
    <t>time after exposure (h)</t>
  </si>
  <si>
    <t>time interval (h)</t>
  </si>
  <si>
    <t>urine volume (L)</t>
  </si>
  <si>
    <t>concentration (µg/L)</t>
  </si>
  <si>
    <t>excretion (µg/h)</t>
  </si>
  <si>
    <t>After sample 22 the 6:2FTS was in the same range as the background observed before exposure.</t>
  </si>
  <si>
    <t>a</t>
  </si>
  <si>
    <r>
      <rPr>
        <i/>
        <sz val="10"/>
        <rFont val="Arial"/>
        <family val="2"/>
      </rPr>
      <t>a</t>
    </r>
    <r>
      <rPr>
        <sz val="10"/>
        <rFont val="Arial"/>
        <family val="2"/>
      </rPr>
      <t>) MPFOA (13C4-PFOA) occurs as a contamination in MPFAC-24ES (about 1.5% of M8PFOA), which led to regular detection in the urine samples at low concentrations.</t>
    </r>
  </si>
  <si>
    <r>
      <t>MPFNA</t>
    </r>
    <r>
      <rPr>
        <i/>
        <vertAlign val="superscript"/>
        <sz val="14"/>
        <rFont val="Calibri"/>
        <family val="2"/>
        <scheme val="minor"/>
      </rPr>
      <t>b</t>
    </r>
  </si>
  <si>
    <r>
      <t>MPFOA</t>
    </r>
    <r>
      <rPr>
        <i/>
        <vertAlign val="superscript"/>
        <sz val="14"/>
        <rFont val="Calibri"/>
        <family val="2"/>
        <scheme val="minor"/>
      </rPr>
      <t>a</t>
    </r>
  </si>
  <si>
    <t>*</t>
  </si>
  <si>
    <t>* begin of data scattering, see article</t>
  </si>
  <si>
    <r>
      <rPr>
        <i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) Amounts of feces not relevant for data evaluation (amounts of PFAS in a single portion do not represent the daily excretion)</t>
    </r>
  </si>
  <si>
    <t>&lt;LOD</t>
  </si>
  <si>
    <r>
      <rPr>
        <i/>
        <sz val="10"/>
        <rFont val="Arial"/>
        <family val="2"/>
      </rPr>
      <t>b</t>
    </r>
    <r>
      <rPr>
        <sz val="10"/>
        <rFont val="Arial"/>
        <family val="2"/>
      </rPr>
      <t>) MPFNA (13C5-PFNA) occurs as a contamination in MPFAC-24ES (about 2% of M9PFNA), which led to regular detection in the urine samples at low concentrations.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</si>
</sst>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"/>
    <numFmt numFmtId="170" formatCode="0.00000000"/>
  </numFmts>
  <fonts count="1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i/>
      <sz val="10"/>
      <color theme="1"/>
      <name val="Arial"/>
      <family val="2"/>
    </font>
    <font>
      <i/>
      <sz val="10"/>
      <name val="Arial"/>
      <family val="2"/>
    </font>
    <font>
      <i/>
      <vertAlign val="superscript"/>
      <sz val="14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4" fillId="0" borderId="0" xfId="0" applyNumberFormat="1" applyFont="1"/>
    <xf numFmtId="164" fontId="3" fillId="0" borderId="0" xfId="0" applyNumberFormat="1" applyFont="1"/>
    <xf numFmtId="0" fontId="4" fillId="0" borderId="0" xfId="0" applyFont="1"/>
    <xf numFmtId="165" fontId="4" fillId="0" borderId="7" xfId="0" applyNumberFormat="1" applyFont="1" applyBorder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0" xfId="0" applyNumberFormat="1" applyFont="1"/>
    <xf numFmtId="0" fontId="0" fillId="3" borderId="0" xfId="0" applyFill="1"/>
    <xf numFmtId="0" fontId="4" fillId="0" borderId="0" xfId="0" applyFont="1" applyAlignment="1">
      <alignment horizontal="left" vertical="top" wrapText="1"/>
    </xf>
    <xf numFmtId="165" fontId="0" fillId="0" borderId="7" xfId="0" applyNumberFormat="1" applyBorder="1"/>
    <xf numFmtId="0" fontId="1" fillId="3" borderId="2" xfId="0" applyFont="1" applyFill="1" applyBorder="1" applyAlignment="1">
      <alignment horizontal="center"/>
    </xf>
    <xf numFmtId="0" fontId="0" fillId="3" borderId="2" xfId="0" applyFill="1" applyBorder="1"/>
    <xf numFmtId="165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0" fillId="3" borderId="4" xfId="0" applyFill="1" applyBorder="1"/>
    <xf numFmtId="0" fontId="1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0" fillId="3" borderId="8" xfId="0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1" xfId="0" applyNumberFormat="1" applyBorder="1"/>
    <xf numFmtId="165" fontId="4" fillId="0" borderId="1" xfId="0" applyNumberFormat="1" applyFont="1" applyBorder="1"/>
    <xf numFmtId="0" fontId="0" fillId="0" borderId="8" xfId="0" applyBorder="1" applyAlignment="1">
      <alignment horizontal="center"/>
    </xf>
    <xf numFmtId="0" fontId="0" fillId="0" borderId="2" xfId="0" applyBorder="1"/>
    <xf numFmtId="165" fontId="4" fillId="0" borderId="2" xfId="0" applyNumberFormat="1" applyFont="1" applyBorder="1"/>
    <xf numFmtId="165" fontId="4" fillId="0" borderId="3" xfId="0" applyNumberFormat="1" applyFont="1" applyBorder="1"/>
    <xf numFmtId="165" fontId="4" fillId="3" borderId="8" xfId="0" applyNumberFormat="1" applyFont="1" applyFill="1" applyBorder="1" applyAlignment="1">
      <alignment horizontal="center"/>
    </xf>
    <xf numFmtId="165" fontId="4" fillId="0" borderId="8" xfId="0" applyNumberFormat="1" applyFont="1" applyBorder="1"/>
    <xf numFmtId="0" fontId="0" fillId="3" borderId="7" xfId="0" applyFill="1" applyBorder="1" applyAlignment="1">
      <alignment horizontal="center"/>
    </xf>
    <xf numFmtId="164" fontId="4" fillId="0" borderId="0" xfId="0" applyNumberFormat="1" applyFont="1"/>
    <xf numFmtId="165" fontId="3" fillId="0" borderId="0" xfId="0" applyNumberFormat="1" applyFont="1"/>
    <xf numFmtId="0" fontId="5" fillId="2" borderId="7" xfId="0" applyFont="1" applyFill="1" applyBorder="1"/>
    <xf numFmtId="0" fontId="5" fillId="2" borderId="8" xfId="0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0" fontId="4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7" fillId="3" borderId="5" xfId="0" applyFont="1" applyFill="1" applyBorder="1" applyAlignment="1">
      <alignment horizontal="center"/>
    </xf>
    <xf numFmtId="0" fontId="4" fillId="3" borderId="0" xfId="0" applyFont="1" applyFill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11" fillId="0" borderId="7" xfId="0" applyNumberFormat="1" applyFont="1" applyBorder="1" applyAlignment="1">
      <alignment horizontal="right"/>
    </xf>
    <xf numFmtId="0" fontId="12" fillId="0" borderId="0" xfId="0" applyFont="1"/>
    <xf numFmtId="0" fontId="5" fillId="3" borderId="10" xfId="0" applyFont="1" applyFill="1" applyBorder="1" applyAlignment="1">
      <alignment horizontal="center"/>
    </xf>
    <xf numFmtId="165" fontId="4" fillId="0" borderId="11" xfId="0" applyNumberFormat="1" applyFont="1" applyBorder="1"/>
    <xf numFmtId="165" fontId="4" fillId="0" borderId="11" xfId="0" applyNumberFormat="1" applyFont="1" applyBorder="1" applyAlignment="1">
      <alignment horizontal="right"/>
    </xf>
    <xf numFmtId="165" fontId="4" fillId="0" borderId="10" xfId="0" applyNumberFormat="1" applyFont="1" applyBorder="1" applyAlignment="1">
      <alignment horizontal="right"/>
    </xf>
    <xf numFmtId="0" fontId="5" fillId="3" borderId="13" xfId="0" applyFont="1" applyFill="1" applyBorder="1" applyAlignment="1">
      <alignment horizontal="center"/>
    </xf>
    <xf numFmtId="165" fontId="4" fillId="0" borderId="14" xfId="0" applyNumberFormat="1" applyFont="1" applyBorder="1"/>
    <xf numFmtId="165" fontId="4" fillId="0" borderId="14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6" fontId="4" fillId="0" borderId="14" xfId="0" applyNumberFormat="1" applyFont="1" applyBorder="1"/>
    <xf numFmtId="166" fontId="4" fillId="0" borderId="11" xfId="0" applyNumberFormat="1" applyFont="1" applyBorder="1"/>
    <xf numFmtId="166" fontId="4" fillId="0" borderId="13" xfId="0" applyNumberFormat="1" applyFont="1" applyBorder="1"/>
    <xf numFmtId="166" fontId="4" fillId="0" borderId="10" xfId="0" applyNumberFormat="1" applyFont="1" applyBorder="1"/>
    <xf numFmtId="165" fontId="4" fillId="0" borderId="10" xfId="0" applyNumberFormat="1" applyFont="1" applyBorder="1"/>
    <xf numFmtId="2" fontId="0" fillId="0" borderId="2" xfId="0" applyNumberFormat="1" applyBorder="1" applyAlignment="1">
      <alignment horizontal="right"/>
    </xf>
    <xf numFmtId="166" fontId="0" fillId="0" borderId="0" xfId="0" applyNumberFormat="1"/>
    <xf numFmtId="164" fontId="0" fillId="0" borderId="0" xfId="0" applyNumberForma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6" fontId="0" fillId="0" borderId="1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right"/>
    </xf>
    <xf numFmtId="166" fontId="4" fillId="0" borderId="7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7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2" fontId="4" fillId="0" borderId="8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167" fontId="4" fillId="0" borderId="11" xfId="0" applyNumberFormat="1" applyFont="1" applyBorder="1"/>
    <xf numFmtId="167" fontId="4" fillId="0" borderId="10" xfId="0" applyNumberFormat="1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170" fontId="4" fillId="0" borderId="0" xfId="0" applyNumberFormat="1" applyFont="1"/>
  </cellXfs>
  <cellStyles count="1">
    <cellStyle name="Normal" xfId="0" builtinId="0"/>
  </cellStyles>
  <dxfs count="6">
    <dxf>
      <fill>
        <patternFill>
          <bgColor rgb="FF00FF99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99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9565-E3FC-4CAC-8082-0D68A02476D5}">
  <dimension ref="A1:AI105"/>
  <sheetViews>
    <sheetView tabSelected="1" zoomScale="93" zoomScaleNormal="93" workbookViewId="0">
      <selection activeCell="H3" sqref="H3:H92"/>
    </sheetView>
  </sheetViews>
  <sheetFormatPr baseColWidth="10" defaultColWidth="9.1640625" defaultRowHeight="13" x14ac:dyDescent="0.15"/>
  <cols>
    <col min="1" max="2" width="13.83203125" customWidth="1"/>
    <col min="3" max="3" width="4.1640625" customWidth="1"/>
    <col min="4" max="12" width="11.1640625" customWidth="1"/>
    <col min="13" max="13" width="6.5" customWidth="1"/>
    <col min="14" max="16" width="10.83203125" customWidth="1"/>
    <col min="17" max="17" width="6.83203125" customWidth="1"/>
    <col min="18" max="20" width="10.83203125" customWidth="1"/>
  </cols>
  <sheetData>
    <row r="1" spans="1:20" s="12" customFormat="1" x14ac:dyDescent="0.15">
      <c r="A1" s="33" t="s">
        <v>131</v>
      </c>
      <c r="B1" s="26" t="s">
        <v>134</v>
      </c>
      <c r="C1" s="34"/>
      <c r="D1" s="33" t="s">
        <v>0</v>
      </c>
      <c r="E1" s="26" t="s">
        <v>124</v>
      </c>
      <c r="F1" s="26" t="s">
        <v>1</v>
      </c>
      <c r="G1" s="26" t="s">
        <v>126</v>
      </c>
      <c r="H1" s="26" t="s">
        <v>127</v>
      </c>
      <c r="I1" s="26" t="s">
        <v>2</v>
      </c>
      <c r="J1" s="26" t="s">
        <v>128</v>
      </c>
      <c r="K1" s="26" t="s">
        <v>129</v>
      </c>
      <c r="L1" s="35" t="s">
        <v>3</v>
      </c>
      <c r="M1" s="26"/>
      <c r="N1" s="33" t="s">
        <v>4</v>
      </c>
      <c r="O1" s="26" t="s">
        <v>5</v>
      </c>
      <c r="P1" s="35" t="s">
        <v>130</v>
      </c>
      <c r="Q1" s="26"/>
      <c r="R1" s="33" t="s">
        <v>6</v>
      </c>
      <c r="S1" s="26" t="s">
        <v>158</v>
      </c>
      <c r="T1" s="35" t="s">
        <v>125</v>
      </c>
    </row>
    <row r="2" spans="1:20" s="12" customFormat="1" ht="14" thickBot="1" x14ac:dyDescent="0.2">
      <c r="A2" s="36"/>
      <c r="B2" s="37" t="s">
        <v>133</v>
      </c>
      <c r="C2" s="38"/>
      <c r="D2" s="47" t="s">
        <v>132</v>
      </c>
      <c r="E2" s="38" t="s">
        <v>132</v>
      </c>
      <c r="F2" s="38" t="s">
        <v>132</v>
      </c>
      <c r="G2" s="38" t="s">
        <v>132</v>
      </c>
      <c r="H2" s="38" t="s">
        <v>132</v>
      </c>
      <c r="I2" s="38" t="s">
        <v>132</v>
      </c>
      <c r="J2" s="38" t="s">
        <v>132</v>
      </c>
      <c r="K2" s="38" t="s">
        <v>132</v>
      </c>
      <c r="L2" s="39" t="s">
        <v>132</v>
      </c>
      <c r="M2" s="38"/>
      <c r="N2" s="47" t="s">
        <v>132</v>
      </c>
      <c r="O2" s="38" t="s">
        <v>132</v>
      </c>
      <c r="P2" s="39" t="s">
        <v>132</v>
      </c>
      <c r="Q2" s="38"/>
      <c r="R2" s="47" t="s">
        <v>132</v>
      </c>
      <c r="S2" s="38" t="s">
        <v>132</v>
      </c>
      <c r="T2" s="39" t="s">
        <v>132</v>
      </c>
    </row>
    <row r="3" spans="1:20" x14ac:dyDescent="0.15">
      <c r="A3" s="40" t="s">
        <v>34</v>
      </c>
      <c r="B3" s="5">
        <v>1.0416666666666666E-2</v>
      </c>
      <c r="C3" s="13"/>
      <c r="D3" s="16">
        <v>3.2188716046428145E-2</v>
      </c>
      <c r="E3" s="5">
        <v>3.7183140622818044E-2</v>
      </c>
      <c r="F3" s="5">
        <v>5.2091792612480675E-2</v>
      </c>
      <c r="G3" s="5">
        <v>2.9341059020595403E-2</v>
      </c>
      <c r="H3" s="5">
        <v>0.14634610001870685</v>
      </c>
      <c r="I3" s="5">
        <v>1.0920816151465521E-2</v>
      </c>
      <c r="J3" s="5">
        <v>2.9386081747798803E-3</v>
      </c>
      <c r="K3" s="5">
        <v>1.3045040083762766E-3</v>
      </c>
      <c r="L3" s="41">
        <v>0</v>
      </c>
      <c r="M3" s="5"/>
      <c r="N3" s="16">
        <v>0.18424469300691815</v>
      </c>
      <c r="O3" s="5">
        <v>0</v>
      </c>
      <c r="P3" s="41">
        <v>0</v>
      </c>
      <c r="Q3" s="5"/>
      <c r="R3" s="69">
        <v>3.8234233142462229E-2</v>
      </c>
      <c r="S3" s="70">
        <v>0.12782917122354887</v>
      </c>
      <c r="T3" s="71">
        <v>4.1665934410646394E-2</v>
      </c>
    </row>
    <row r="4" spans="1:20" x14ac:dyDescent="0.15">
      <c r="A4" s="40" t="s">
        <v>35</v>
      </c>
      <c r="B4" s="5">
        <v>2.0833333333333332E-2</v>
      </c>
      <c r="C4" s="13"/>
      <c r="D4" s="16">
        <v>9.5483235007991094E-2</v>
      </c>
      <c r="E4" s="5">
        <v>0.10246042075296444</v>
      </c>
      <c r="F4" s="5">
        <v>0.1370749357355377</v>
      </c>
      <c r="G4" s="5">
        <v>0.12681947725671555</v>
      </c>
      <c r="H4" s="5">
        <v>0.23888180793964969</v>
      </c>
      <c r="I4" s="5">
        <v>8.5234876704545465E-2</v>
      </c>
      <c r="J4" s="5">
        <v>4.1355138504421372E-2</v>
      </c>
      <c r="K4" s="5">
        <v>2.2152304919512245E-2</v>
      </c>
      <c r="L4" s="41">
        <v>5.4807915824915824E-3</v>
      </c>
      <c r="M4" s="5"/>
      <c r="N4" s="16">
        <v>0.49945415514626212</v>
      </c>
      <c r="O4" s="5">
        <v>7.4583795695638111E-2</v>
      </c>
      <c r="P4" s="41">
        <v>4.7173299501524199E-2</v>
      </c>
      <c r="Q4" s="5"/>
      <c r="R4" s="16">
        <v>6.6112739434799311E-2</v>
      </c>
      <c r="S4" s="5">
        <v>0.45738980724876038</v>
      </c>
      <c r="T4" s="41">
        <v>0.15891826330117065</v>
      </c>
    </row>
    <row r="5" spans="1:20" x14ac:dyDescent="0.15">
      <c r="A5" s="40" t="s">
        <v>36</v>
      </c>
      <c r="B5" s="5">
        <v>3.125E-2</v>
      </c>
      <c r="C5" s="13"/>
      <c r="D5" s="16">
        <v>0.2579713852813853</v>
      </c>
      <c r="E5" s="5">
        <v>0.24698044419809739</v>
      </c>
      <c r="F5" s="5">
        <v>0.31862163264847365</v>
      </c>
      <c r="G5" s="5">
        <v>0.35200996430132092</v>
      </c>
      <c r="H5" s="5">
        <v>0.51017040179194006</v>
      </c>
      <c r="I5" s="5">
        <v>0.30257914497804639</v>
      </c>
      <c r="J5" s="5">
        <v>0.1648166336633663</v>
      </c>
      <c r="K5" s="5">
        <v>0.10720981549586044</v>
      </c>
      <c r="L5" s="41">
        <v>3.544848681967213E-2</v>
      </c>
      <c r="M5" s="5"/>
      <c r="N5" s="16">
        <v>1.357558685754698</v>
      </c>
      <c r="O5" s="5">
        <v>0.29008622265608985</v>
      </c>
      <c r="P5" s="41">
        <v>0.19503477467812216</v>
      </c>
      <c r="Q5" s="5"/>
      <c r="R5" s="16">
        <v>0.14994835035818357</v>
      </c>
      <c r="S5" s="5">
        <v>0.96886360825297335</v>
      </c>
      <c r="T5" s="41">
        <v>0.44057778750875232</v>
      </c>
    </row>
    <row r="6" spans="1:20" x14ac:dyDescent="0.15">
      <c r="A6" s="40" t="s">
        <v>37</v>
      </c>
      <c r="B6" s="5">
        <v>4.1666666666666664E-2</v>
      </c>
      <c r="C6" s="13"/>
      <c r="D6" s="16">
        <v>0.33449949694296111</v>
      </c>
      <c r="E6" s="5">
        <v>0.33765600007357532</v>
      </c>
      <c r="F6" s="5">
        <v>0.46614841801801798</v>
      </c>
      <c r="G6" s="5">
        <v>0.51159079826743148</v>
      </c>
      <c r="H6" s="5">
        <v>0.69127132306302719</v>
      </c>
      <c r="I6" s="5">
        <v>0.46104343913844315</v>
      </c>
      <c r="J6" s="5">
        <v>0.26333888941510775</v>
      </c>
      <c r="K6" s="5">
        <v>0.17998316805287146</v>
      </c>
      <c r="L6" s="41">
        <v>7.8704169188861986E-2</v>
      </c>
      <c r="M6" s="5"/>
      <c r="N6" s="16">
        <v>1.6093178892912494</v>
      </c>
      <c r="O6" s="5">
        <v>0.47923629254273281</v>
      </c>
      <c r="P6" s="41">
        <v>0.29134683937771466</v>
      </c>
      <c r="Q6" s="5"/>
      <c r="R6" s="16">
        <v>0.23680724353876395</v>
      </c>
      <c r="S6" s="5">
        <v>1.3822706525539346</v>
      </c>
      <c r="T6" s="41">
        <v>0.58984748393805786</v>
      </c>
    </row>
    <row r="7" spans="1:20" x14ac:dyDescent="0.15">
      <c r="A7" s="40" t="s">
        <v>38</v>
      </c>
      <c r="B7" s="5">
        <v>5.2083333333333336E-2</v>
      </c>
      <c r="C7" s="13"/>
      <c r="D7" s="16">
        <v>0.33423717381074602</v>
      </c>
      <c r="E7" s="5">
        <v>0.40403475572046998</v>
      </c>
      <c r="F7" s="5">
        <v>0.50047074066686614</v>
      </c>
      <c r="G7" s="5">
        <v>0.53405471087887291</v>
      </c>
      <c r="H7" s="5">
        <v>0.73795124181822835</v>
      </c>
      <c r="I7" s="5">
        <v>0.50448379254788778</v>
      </c>
      <c r="J7" s="5">
        <v>0.2718200476190476</v>
      </c>
      <c r="K7" s="5">
        <v>0.1975660192520044</v>
      </c>
      <c r="L7" s="41">
        <v>0.10333945851293104</v>
      </c>
      <c r="M7" s="5"/>
      <c r="N7" s="16">
        <v>1.7700232843837536</v>
      </c>
      <c r="O7" s="5">
        <v>0.53821615364150799</v>
      </c>
      <c r="P7" s="41">
        <v>0.29025449809433329</v>
      </c>
      <c r="Q7" s="5"/>
      <c r="R7" s="16">
        <v>0.24707289631104884</v>
      </c>
      <c r="S7" s="5">
        <v>1.4154014806813935</v>
      </c>
      <c r="T7" s="41">
        <v>0.62327531276904224</v>
      </c>
    </row>
    <row r="8" spans="1:20" x14ac:dyDescent="0.15">
      <c r="A8" s="40" t="s">
        <v>39</v>
      </c>
      <c r="B8" s="5">
        <v>6.25E-2</v>
      </c>
      <c r="C8" s="13"/>
      <c r="D8" s="16">
        <v>0.40355156530089631</v>
      </c>
      <c r="E8" s="5">
        <v>0.43645354419583565</v>
      </c>
      <c r="F8" s="5">
        <v>0.53542130178622571</v>
      </c>
      <c r="G8" s="5">
        <v>0.6095930922258892</v>
      </c>
      <c r="H8" s="5">
        <v>0.7789505791176432</v>
      </c>
      <c r="I8" s="5">
        <v>0.55298866510793221</v>
      </c>
      <c r="J8" s="5">
        <v>0.31437068376068367</v>
      </c>
      <c r="K8" s="5">
        <v>0.23235954868237418</v>
      </c>
      <c r="L8" s="41">
        <v>0.13191862795909792</v>
      </c>
      <c r="M8" s="5"/>
      <c r="N8" s="16">
        <v>2.0283271931097673</v>
      </c>
      <c r="O8" s="5">
        <v>0.6347789962524838</v>
      </c>
      <c r="P8" s="41">
        <v>0.38955461944753356</v>
      </c>
      <c r="Q8" s="5"/>
      <c r="R8" s="16">
        <v>0.29137301090124534</v>
      </c>
      <c r="S8" s="5">
        <v>1.5160380893068668</v>
      </c>
      <c r="T8" s="41">
        <v>0.69015247471082186</v>
      </c>
    </row>
    <row r="9" spans="1:20" x14ac:dyDescent="0.15">
      <c r="A9" s="40" t="s">
        <v>40</v>
      </c>
      <c r="B9" s="5">
        <v>7.2916666666666671E-2</v>
      </c>
      <c r="C9" s="13"/>
      <c r="D9" s="16">
        <v>0.42462362048065772</v>
      </c>
      <c r="E9" s="5">
        <v>0.45722165236581769</v>
      </c>
      <c r="F9" s="5">
        <v>0.55066561073211906</v>
      </c>
      <c r="G9" s="5">
        <v>0.64021521718735341</v>
      </c>
      <c r="H9" s="5">
        <v>0.87444117275054145</v>
      </c>
      <c r="I9" s="5">
        <v>0.58869362845974571</v>
      </c>
      <c r="J9" s="5">
        <v>0.34573109498667365</v>
      </c>
      <c r="K9" s="5">
        <v>0.26421559766574387</v>
      </c>
      <c r="L9" s="41">
        <v>0.15191544454812048</v>
      </c>
      <c r="M9" s="5"/>
      <c r="N9" s="16">
        <v>2.2655234279609084</v>
      </c>
      <c r="O9" s="5">
        <v>0.68923193328840959</v>
      </c>
      <c r="P9" s="41">
        <v>0.40222586160770479</v>
      </c>
      <c r="Q9" s="5"/>
      <c r="R9" s="16">
        <v>0.36578763236110523</v>
      </c>
      <c r="S9" s="5">
        <v>1.6867809524889683</v>
      </c>
      <c r="T9" s="41">
        <v>0.66769748098859316</v>
      </c>
    </row>
    <row r="10" spans="1:20" x14ac:dyDescent="0.15">
      <c r="A10" s="40" t="s">
        <v>41</v>
      </c>
      <c r="B10" s="5">
        <v>8.3333333333333329E-2</v>
      </c>
      <c r="C10" s="13"/>
      <c r="D10" s="16">
        <v>0.39614486777911728</v>
      </c>
      <c r="E10" s="5">
        <v>0.49465232618463517</v>
      </c>
      <c r="F10" s="5">
        <v>0.57564114321053084</v>
      </c>
      <c r="G10" s="5">
        <v>0.66093507994583445</v>
      </c>
      <c r="H10" s="5">
        <v>0.90268274359453016</v>
      </c>
      <c r="I10" s="5">
        <v>0.59736615548973626</v>
      </c>
      <c r="J10" s="5">
        <v>0.34447245831042694</v>
      </c>
      <c r="K10" s="5">
        <v>0.2772891186536216</v>
      </c>
      <c r="L10" s="41">
        <v>0.1621891764418377</v>
      </c>
      <c r="M10" s="5"/>
      <c r="N10" s="16">
        <v>2.2001812326797383</v>
      </c>
      <c r="O10" s="5">
        <v>0.73742575059771442</v>
      </c>
      <c r="P10" s="41">
        <v>0.42853417725674092</v>
      </c>
      <c r="Q10" s="5"/>
      <c r="R10" s="16">
        <v>0.37458389705792478</v>
      </c>
      <c r="S10" s="5">
        <v>1.5985544816676618</v>
      </c>
      <c r="T10" s="41">
        <v>0.73036181208086282</v>
      </c>
    </row>
    <row r="11" spans="1:20" x14ac:dyDescent="0.15">
      <c r="A11" s="40" t="s">
        <v>42</v>
      </c>
      <c r="B11" s="5">
        <v>9.375E-2</v>
      </c>
      <c r="C11" s="13"/>
      <c r="D11" s="16">
        <v>0.43323548766004094</v>
      </c>
      <c r="E11" s="5">
        <v>0.45837219518525729</v>
      </c>
      <c r="F11" s="5">
        <v>0.56236408108319025</v>
      </c>
      <c r="G11" s="5">
        <v>0.68550489084494415</v>
      </c>
      <c r="H11" s="5">
        <v>0.91430662161363685</v>
      </c>
      <c r="I11" s="5">
        <v>0.61184258218557452</v>
      </c>
      <c r="J11" s="5">
        <v>0.3761698903386721</v>
      </c>
      <c r="K11" s="5">
        <v>0.31132242955064737</v>
      </c>
      <c r="L11" s="41">
        <v>0.18519614365024287</v>
      </c>
      <c r="M11" s="5"/>
      <c r="N11" s="16">
        <v>2.2414589011789925</v>
      </c>
      <c r="O11" s="5">
        <v>0.82637819953289049</v>
      </c>
      <c r="P11" s="41">
        <v>0.40886099176216673</v>
      </c>
      <c r="Q11" s="5"/>
      <c r="R11" s="16">
        <v>0.39291518083600041</v>
      </c>
      <c r="S11" s="5">
        <v>1.6777827597580406</v>
      </c>
      <c r="T11" s="41">
        <v>0.71904551878130785</v>
      </c>
    </row>
    <row r="12" spans="1:20" x14ac:dyDescent="0.15">
      <c r="A12" s="40" t="s">
        <v>43</v>
      </c>
      <c r="B12" s="5">
        <v>0.10416666666666667</v>
      </c>
      <c r="C12" s="13"/>
      <c r="D12" s="16">
        <v>0.37685083383674739</v>
      </c>
      <c r="E12" s="5">
        <v>0.42945861217214154</v>
      </c>
      <c r="F12" s="5">
        <v>0.51010688750568534</v>
      </c>
      <c r="G12" s="5">
        <v>0.62882425167202904</v>
      </c>
      <c r="H12" s="5">
        <v>0.8169304233626713</v>
      </c>
      <c r="I12" s="5">
        <v>0.56397064611158088</v>
      </c>
      <c r="J12" s="5">
        <v>0.36251972135718785</v>
      </c>
      <c r="K12" s="5">
        <v>0.29813847642529434</v>
      </c>
      <c r="L12" s="41">
        <v>0.17118427845528456</v>
      </c>
      <c r="M12" s="5"/>
      <c r="N12" s="16">
        <v>2.0001979041351197</v>
      </c>
      <c r="O12" s="5">
        <v>0.74695721258635561</v>
      </c>
      <c r="P12" s="41">
        <v>0.36340024288749101</v>
      </c>
      <c r="Q12" s="5"/>
      <c r="R12" s="16">
        <v>0.40680413782921127</v>
      </c>
      <c r="S12" s="5">
        <v>1.618864938521849</v>
      </c>
      <c r="T12" s="41">
        <v>0.70792724822136666</v>
      </c>
    </row>
    <row r="13" spans="1:20" x14ac:dyDescent="0.15">
      <c r="A13" s="40" t="s">
        <v>44</v>
      </c>
      <c r="B13" s="5">
        <v>0.11458333333333333</v>
      </c>
      <c r="C13" s="13"/>
      <c r="D13" s="16">
        <v>0.39060073651539307</v>
      </c>
      <c r="E13" s="5">
        <v>0.43475553214081514</v>
      </c>
      <c r="F13" s="5">
        <v>0.53573098883684889</v>
      </c>
      <c r="G13" s="5">
        <v>0.64204387793919582</v>
      </c>
      <c r="H13" s="5">
        <v>0.84972779491255523</v>
      </c>
      <c r="I13" s="5">
        <v>0.56018982323229971</v>
      </c>
      <c r="J13" s="5">
        <v>0.37484471153846155</v>
      </c>
      <c r="K13" s="5">
        <v>0.31607862745098042</v>
      </c>
      <c r="L13" s="41">
        <v>0.17132050035236085</v>
      </c>
      <c r="M13" s="5"/>
      <c r="N13" s="16">
        <v>2.1219786887850467</v>
      </c>
      <c r="O13" s="5">
        <v>0.71064730934018849</v>
      </c>
      <c r="P13" s="41">
        <v>0.38303161653380335</v>
      </c>
      <c r="Q13" s="5"/>
      <c r="R13" s="16">
        <v>0.43115603252638313</v>
      </c>
      <c r="S13" s="5">
        <v>1.5829306519525876</v>
      </c>
      <c r="T13" s="41">
        <v>0.65630853672031475</v>
      </c>
    </row>
    <row r="14" spans="1:20" x14ac:dyDescent="0.15">
      <c r="A14" s="40" t="s">
        <v>45</v>
      </c>
      <c r="B14" s="5">
        <v>0.125</v>
      </c>
      <c r="C14" s="13"/>
      <c r="D14" s="16">
        <v>0.38912298850574711</v>
      </c>
      <c r="E14" s="5">
        <v>0.42833232926973602</v>
      </c>
      <c r="F14" s="5">
        <v>0.51077572714041297</v>
      </c>
      <c r="G14" s="5">
        <v>0.64257725739977523</v>
      </c>
      <c r="H14" s="5">
        <v>0.81383810733786954</v>
      </c>
      <c r="I14" s="5">
        <v>0.56917481588964725</v>
      </c>
      <c r="J14" s="5">
        <v>0.3686056796941376</v>
      </c>
      <c r="K14" s="5">
        <v>0.32178596315658453</v>
      </c>
      <c r="L14" s="41">
        <v>0.17327374117110958</v>
      </c>
      <c r="M14" s="5"/>
      <c r="N14" s="16">
        <v>2.0690408613517555</v>
      </c>
      <c r="O14" s="5">
        <v>0.80554561740558284</v>
      </c>
      <c r="P14" s="41">
        <v>0.37969875500146</v>
      </c>
      <c r="Q14" s="5"/>
      <c r="R14" s="16">
        <v>0.42595446026200995</v>
      </c>
      <c r="S14" s="5">
        <v>1.5739300437119128</v>
      </c>
      <c r="T14" s="41">
        <v>0.656927126490647</v>
      </c>
    </row>
    <row r="15" spans="1:20" x14ac:dyDescent="0.15">
      <c r="A15" s="40" t="s">
        <v>46</v>
      </c>
      <c r="B15" s="5">
        <v>0.14583333333333334</v>
      </c>
      <c r="C15" s="13"/>
      <c r="D15" s="4">
        <v>0.35846983294483292</v>
      </c>
      <c r="E15" s="13">
        <v>0.38664830330731986</v>
      </c>
      <c r="F15" s="13">
        <v>0.46513697337797516</v>
      </c>
      <c r="G15" s="13">
        <v>0.52902648026315791</v>
      </c>
      <c r="H15" s="13">
        <v>0.71133816862704202</v>
      </c>
      <c r="I15" s="13">
        <v>0.49285412317056077</v>
      </c>
      <c r="J15" s="13">
        <v>0.34538184466019412</v>
      </c>
      <c r="K15" s="13">
        <v>0.27306436537282741</v>
      </c>
      <c r="L15" s="42">
        <v>0.15686665818798448</v>
      </c>
      <c r="M15" s="13"/>
      <c r="N15" s="4">
        <v>1.8510496285660942</v>
      </c>
      <c r="O15" s="13">
        <v>0.64228213383759725</v>
      </c>
      <c r="P15" s="42">
        <v>0.36976496513337509</v>
      </c>
      <c r="Q15" s="13"/>
      <c r="R15" s="4">
        <v>0.39801490287268015</v>
      </c>
      <c r="S15" s="13">
        <v>1.4600028152875595</v>
      </c>
      <c r="T15" s="42">
        <v>0.57447500714704258</v>
      </c>
    </row>
    <row r="16" spans="1:20" x14ac:dyDescent="0.15">
      <c r="A16" s="40" t="s">
        <v>47</v>
      </c>
      <c r="B16" s="5">
        <v>0.16666666666666666</v>
      </c>
      <c r="C16" s="13"/>
      <c r="D16" s="4">
        <v>0.35994999999999999</v>
      </c>
      <c r="E16" s="13">
        <v>0.37419380392770751</v>
      </c>
      <c r="F16" s="13">
        <v>0.48240102274896057</v>
      </c>
      <c r="G16" s="13">
        <v>0.56509998797498795</v>
      </c>
      <c r="H16" s="13">
        <v>0.75636042317561092</v>
      </c>
      <c r="I16" s="13">
        <v>0.53621604612176876</v>
      </c>
      <c r="J16" s="13">
        <v>0.35571556891578987</v>
      </c>
      <c r="K16" s="13">
        <v>0.29202119170931107</v>
      </c>
      <c r="L16" s="42">
        <v>0.16887152</v>
      </c>
      <c r="M16" s="13"/>
      <c r="N16" s="4">
        <v>2.088896189371884</v>
      </c>
      <c r="O16" s="13">
        <v>0.71111013310906368</v>
      </c>
      <c r="P16" s="42">
        <v>0.36850052970706049</v>
      </c>
      <c r="Q16" s="13"/>
      <c r="R16" s="4">
        <v>0.3785536606897254</v>
      </c>
      <c r="S16" s="13">
        <v>1.4853007003088328</v>
      </c>
      <c r="T16" s="42">
        <v>0.57644617225444761</v>
      </c>
    </row>
    <row r="17" spans="1:35" x14ac:dyDescent="0.15">
      <c r="A17" s="40" t="s">
        <v>48</v>
      </c>
      <c r="B17" s="5">
        <v>0.1875</v>
      </c>
      <c r="C17" s="13"/>
      <c r="D17" s="4">
        <v>0.36418354855356216</v>
      </c>
      <c r="E17" s="13">
        <v>0.35375102350630727</v>
      </c>
      <c r="F17" s="13">
        <v>0.43367816399286985</v>
      </c>
      <c r="G17" s="13">
        <v>0.51691447977310045</v>
      </c>
      <c r="H17" s="13">
        <v>0.68374289456109572</v>
      </c>
      <c r="I17" s="13">
        <v>0.5144012165485623</v>
      </c>
      <c r="J17" s="13">
        <v>0.32858578811881189</v>
      </c>
      <c r="K17" s="13">
        <v>0.26225186274509804</v>
      </c>
      <c r="L17" s="42">
        <v>0.16151156578256301</v>
      </c>
      <c r="M17" s="13"/>
      <c r="N17" s="4">
        <v>1.9453726097154727</v>
      </c>
      <c r="O17" s="13">
        <v>0.67339695262169152</v>
      </c>
      <c r="P17" s="42">
        <v>0.38822103889961385</v>
      </c>
      <c r="Q17" s="13"/>
      <c r="R17" s="4">
        <v>0.43921878930291053</v>
      </c>
      <c r="S17" s="13">
        <v>1.4857935766170662</v>
      </c>
      <c r="T17" s="42">
        <v>0.5432821567697782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15">
      <c r="A18" s="40" t="s">
        <v>49</v>
      </c>
      <c r="B18" s="5">
        <v>0.20833333333333334</v>
      </c>
      <c r="C18" s="13"/>
      <c r="D18" s="4">
        <v>0.37938211838956404</v>
      </c>
      <c r="E18" s="13">
        <v>0.34829748285817391</v>
      </c>
      <c r="F18" s="13">
        <v>0.41828296844506752</v>
      </c>
      <c r="G18" s="13">
        <v>0.50230724909528413</v>
      </c>
      <c r="H18" s="13">
        <v>0.6994800905907621</v>
      </c>
      <c r="I18" s="13">
        <v>0.49929746729033203</v>
      </c>
      <c r="J18" s="13">
        <v>0.32123243572189258</v>
      </c>
      <c r="K18" s="13">
        <v>0.26020863132056948</v>
      </c>
      <c r="L18" s="42">
        <v>0.16310675544794187</v>
      </c>
      <c r="M18" s="13"/>
      <c r="N18" s="4">
        <v>1.8053888671556142</v>
      </c>
      <c r="O18" s="13">
        <v>0.66610160288549802</v>
      </c>
      <c r="P18" s="42">
        <v>0.34792070766140204</v>
      </c>
      <c r="Q18" s="13"/>
      <c r="R18" s="4">
        <v>0.4035207717383692</v>
      </c>
      <c r="S18" s="13">
        <v>1.4667610073290354</v>
      </c>
      <c r="T18" s="42">
        <v>0.51394239875477987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15">
      <c r="A19" s="40" t="s">
        <v>50</v>
      </c>
      <c r="B19" s="5">
        <v>0.22916666666666666</v>
      </c>
      <c r="C19" s="13"/>
      <c r="D19" s="4">
        <v>0.32946658106951388</v>
      </c>
      <c r="E19" s="13">
        <v>0.3178935245883342</v>
      </c>
      <c r="F19" s="13">
        <v>0.39010126558169467</v>
      </c>
      <c r="G19" s="13">
        <v>0.46734237094237091</v>
      </c>
      <c r="H19" s="13">
        <v>0.66739399457300164</v>
      </c>
      <c r="I19" s="13">
        <v>0.46503571544646849</v>
      </c>
      <c r="J19" s="13">
        <v>0.30567165215592623</v>
      </c>
      <c r="K19" s="13">
        <v>0.25092872078840806</v>
      </c>
      <c r="L19" s="42">
        <v>0.15216203379065041</v>
      </c>
      <c r="M19" s="13"/>
      <c r="N19" s="4">
        <v>1.6736472235294118</v>
      </c>
      <c r="O19" s="13">
        <v>0.59683338409602382</v>
      </c>
      <c r="P19" s="42">
        <v>0.34537093382071138</v>
      </c>
      <c r="Q19" s="13"/>
      <c r="R19" s="4">
        <v>0.39148283735347739</v>
      </c>
      <c r="S19" s="13">
        <v>1.3359749036479789</v>
      </c>
      <c r="T19" s="42">
        <v>0.49867180532736766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15">
      <c r="A20" s="40" t="s">
        <v>51</v>
      </c>
      <c r="B20" s="5">
        <v>0.25</v>
      </c>
      <c r="C20" s="13"/>
      <c r="D20" s="4">
        <v>0.35529330985915492</v>
      </c>
      <c r="E20" s="13">
        <v>0.29171150255482825</v>
      </c>
      <c r="F20" s="13">
        <v>0.3891831694706217</v>
      </c>
      <c r="G20" s="13">
        <v>0.45210848384067615</v>
      </c>
      <c r="H20" s="13">
        <v>0.65274314135786393</v>
      </c>
      <c r="I20" s="13">
        <v>0.46798211831281633</v>
      </c>
      <c r="J20" s="13">
        <v>0.28872115976858032</v>
      </c>
      <c r="K20" s="13">
        <v>0.24599961579837099</v>
      </c>
      <c r="L20" s="42">
        <v>0.15750843390282321</v>
      </c>
      <c r="M20" s="13"/>
      <c r="N20" s="4">
        <v>1.7260682161147152</v>
      </c>
      <c r="O20" s="13">
        <v>0.62109420799999993</v>
      </c>
      <c r="P20" s="42">
        <v>0.35151053429961054</v>
      </c>
      <c r="Q20" s="13"/>
      <c r="R20" s="4">
        <v>0.36629594890205974</v>
      </c>
      <c r="S20" s="13">
        <v>1.3254897947496631</v>
      </c>
      <c r="T20" s="42">
        <v>0.4763631708585962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x14ac:dyDescent="0.15">
      <c r="A21" s="40" t="s">
        <v>52</v>
      </c>
      <c r="B21" s="5">
        <v>0.27083333333333331</v>
      </c>
      <c r="C21" s="13"/>
      <c r="D21" s="4">
        <v>0.34754635177630455</v>
      </c>
      <c r="E21" s="13">
        <v>0.28968399796533301</v>
      </c>
      <c r="F21" s="13">
        <v>0.39904559254680322</v>
      </c>
      <c r="G21" s="13">
        <v>0.46689068825910929</v>
      </c>
      <c r="H21" s="13">
        <v>0.62122848625372895</v>
      </c>
      <c r="I21" s="13">
        <v>0.44676524174757276</v>
      </c>
      <c r="J21" s="13">
        <v>0.27875999999999995</v>
      </c>
      <c r="K21" s="13">
        <v>0.23629511322789359</v>
      </c>
      <c r="L21" s="42">
        <v>0.15953636363636362</v>
      </c>
      <c r="M21" s="13"/>
      <c r="N21" s="4">
        <v>1.6587848242664267</v>
      </c>
      <c r="O21" s="13">
        <v>0.56959355203145812</v>
      </c>
      <c r="P21" s="42">
        <v>0.32965605138864135</v>
      </c>
      <c r="Q21" s="13"/>
      <c r="R21" s="4">
        <v>0.36882850810638795</v>
      </c>
      <c r="S21" s="13">
        <v>1.271254128138259</v>
      </c>
      <c r="T21" s="42">
        <v>0.4596891310922917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15">
      <c r="A22" s="40" t="s">
        <v>53</v>
      </c>
      <c r="B22" s="5">
        <v>0.29166666666666669</v>
      </c>
      <c r="C22" s="13"/>
      <c r="D22" s="4">
        <v>0.33727442165968946</v>
      </c>
      <c r="E22" s="13">
        <v>0.27710439426678191</v>
      </c>
      <c r="F22" s="13">
        <v>0.37019638733688631</v>
      </c>
      <c r="G22" s="13">
        <v>0.43970228296238451</v>
      </c>
      <c r="H22" s="13">
        <v>0.60847170244479709</v>
      </c>
      <c r="I22" s="13">
        <v>0.4449875614577718</v>
      </c>
      <c r="J22" s="13">
        <v>0.28443914886039889</v>
      </c>
      <c r="K22" s="13">
        <v>0.22693553207547168</v>
      </c>
      <c r="L22" s="42">
        <v>0.15947989034290561</v>
      </c>
      <c r="M22" s="13"/>
      <c r="N22" s="4">
        <v>1.782345111209767</v>
      </c>
      <c r="O22" s="13">
        <v>0.54800543696533865</v>
      </c>
      <c r="P22" s="42">
        <v>0.34067089650702098</v>
      </c>
      <c r="Q22" s="13"/>
      <c r="R22" s="4">
        <v>0.36016691596723949</v>
      </c>
      <c r="S22" s="13">
        <v>1.2784819079375525</v>
      </c>
      <c r="T22" s="42">
        <v>0.47955885532232584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15">
      <c r="A23" s="40" t="s">
        <v>54</v>
      </c>
      <c r="B23" s="5">
        <v>0.3125</v>
      </c>
      <c r="C23" s="13"/>
      <c r="D23" s="4">
        <v>0.40032950450450444</v>
      </c>
      <c r="E23" s="13">
        <v>0.31070638848822812</v>
      </c>
      <c r="F23" s="13">
        <v>0.41174458452571522</v>
      </c>
      <c r="G23" s="13">
        <v>0.4960111910891089</v>
      </c>
      <c r="H23" s="13">
        <v>0.67791539998615491</v>
      </c>
      <c r="I23" s="13">
        <v>0.50981196217161628</v>
      </c>
      <c r="J23" s="13">
        <v>0.31699086538461541</v>
      </c>
      <c r="K23" s="13">
        <v>0.25544193872987475</v>
      </c>
      <c r="L23" s="42">
        <v>0.18291117990410671</v>
      </c>
      <c r="M23" s="13"/>
      <c r="N23" s="4">
        <v>1.917155980392157</v>
      </c>
      <c r="O23" s="13">
        <v>0.60608829591220403</v>
      </c>
      <c r="P23" s="42">
        <v>0.37547816646409321</v>
      </c>
      <c r="Q23" s="13"/>
      <c r="R23" s="4">
        <v>0.45403297101831303</v>
      </c>
      <c r="S23" s="13">
        <v>1.4468314321926492</v>
      </c>
      <c r="T23" s="42">
        <v>0.48780559916595112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15">
      <c r="A24" s="40" t="s">
        <v>55</v>
      </c>
      <c r="B24" s="5">
        <v>0.33333333333333331</v>
      </c>
      <c r="C24" s="13"/>
      <c r="D24" s="4">
        <v>0.37690438169425511</v>
      </c>
      <c r="E24" s="13">
        <v>0.28796572717430535</v>
      </c>
      <c r="F24" s="13">
        <v>0.40350902358214769</v>
      </c>
      <c r="G24" s="13">
        <v>0.46877755257423404</v>
      </c>
      <c r="H24" s="13">
        <v>0.66228292514321563</v>
      </c>
      <c r="I24" s="13">
        <v>0.47393149495546416</v>
      </c>
      <c r="J24" s="13">
        <v>0.31456144032921807</v>
      </c>
      <c r="K24" s="13">
        <v>0.26467335164614025</v>
      </c>
      <c r="L24" s="42">
        <v>0.16191041666666667</v>
      </c>
      <c r="M24" s="13"/>
      <c r="N24" s="4">
        <v>1.8132571364216181</v>
      </c>
      <c r="O24" s="13">
        <v>0.5843546265297126</v>
      </c>
      <c r="P24" s="42">
        <v>0.35910627005183582</v>
      </c>
      <c r="Q24" s="13"/>
      <c r="R24" s="4">
        <v>0.39370938336678118</v>
      </c>
      <c r="S24" s="13">
        <v>1.3767616207986495</v>
      </c>
      <c r="T24" s="42">
        <v>0.4891135830434431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15">
      <c r="A25" s="40" t="s">
        <v>56</v>
      </c>
      <c r="B25" s="5">
        <v>0.375</v>
      </c>
      <c r="C25" s="13"/>
      <c r="D25" s="4">
        <v>0.3661524495305884</v>
      </c>
      <c r="E25" s="13">
        <v>0.26715777777777777</v>
      </c>
      <c r="F25" s="13">
        <v>0.37357797400126819</v>
      </c>
      <c r="G25" s="13">
        <v>0.44481195116896444</v>
      </c>
      <c r="H25" s="13">
        <v>0.6242635600286377</v>
      </c>
      <c r="I25" s="13">
        <v>0.44871012431732082</v>
      </c>
      <c r="J25" s="13">
        <v>0.29642466036414566</v>
      </c>
      <c r="K25" s="13">
        <v>0.25146308411214952</v>
      </c>
      <c r="L25" s="42">
        <v>0.14953549567099567</v>
      </c>
      <c r="M25" s="13"/>
      <c r="N25" s="4">
        <v>1.7130757889929535</v>
      </c>
      <c r="O25" s="13">
        <v>0.55334723110098316</v>
      </c>
      <c r="P25" s="42">
        <v>0.30786699147788632</v>
      </c>
      <c r="Q25" s="13"/>
      <c r="R25" s="4">
        <v>0.4053537400425079</v>
      </c>
      <c r="S25" s="13">
        <v>1.2885452269364088</v>
      </c>
      <c r="T25" s="42">
        <v>0.43435001312235155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15">
      <c r="A26" s="40" t="s">
        <v>57</v>
      </c>
      <c r="B26" s="5">
        <v>0.41666666666666669</v>
      </c>
      <c r="C26" s="13"/>
      <c r="D26" s="4">
        <v>0.33555426900584795</v>
      </c>
      <c r="E26" s="13">
        <v>0.25325350748366238</v>
      </c>
      <c r="F26" s="13">
        <v>0.37213901750240197</v>
      </c>
      <c r="G26" s="13">
        <v>0.45211411114451749</v>
      </c>
      <c r="H26" s="13">
        <v>0.62537434512130829</v>
      </c>
      <c r="I26" s="13">
        <v>0.44679102627678569</v>
      </c>
      <c r="J26" s="13">
        <v>0.30510796541200402</v>
      </c>
      <c r="K26" s="13">
        <v>0.25808075635691169</v>
      </c>
      <c r="L26" s="42">
        <v>0.15003534388059697</v>
      </c>
      <c r="M26" s="13"/>
      <c r="N26" s="4">
        <v>1.7701430113051306</v>
      </c>
      <c r="O26" s="13">
        <v>0.53113737270866612</v>
      </c>
      <c r="P26" s="42">
        <v>0.3347344747032967</v>
      </c>
      <c r="Q26" s="13"/>
      <c r="R26" s="4">
        <v>0.37396500962305934</v>
      </c>
      <c r="S26" s="13">
        <v>1.2858864419677718</v>
      </c>
      <c r="T26" s="42">
        <v>0.46981773275309396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15">
      <c r="A27" s="40" t="s">
        <v>58</v>
      </c>
      <c r="B27" s="5">
        <v>0.45833333333333331</v>
      </c>
      <c r="C27" s="13"/>
      <c r="D27" s="4">
        <v>0.34474655753868222</v>
      </c>
      <c r="E27" s="13">
        <v>0.2247873998031219</v>
      </c>
      <c r="F27" s="13">
        <v>0.3385385039013733</v>
      </c>
      <c r="G27" s="13">
        <v>0.41709322011544969</v>
      </c>
      <c r="H27" s="13">
        <v>0.60903181910268023</v>
      </c>
      <c r="I27" s="13">
        <v>0.40803802813906381</v>
      </c>
      <c r="J27" s="13">
        <v>0.3003269230769231</v>
      </c>
      <c r="K27" s="13">
        <v>0.26348570000000004</v>
      </c>
      <c r="L27" s="42">
        <v>0.1456181400675024</v>
      </c>
      <c r="M27" s="13"/>
      <c r="N27" s="4">
        <v>1.8217340175130694</v>
      </c>
      <c r="O27" s="13">
        <v>0.50991910284396891</v>
      </c>
      <c r="P27" s="42">
        <v>0.28213781214664568</v>
      </c>
      <c r="Q27" s="13"/>
      <c r="R27" s="4">
        <v>0.33499471486170046</v>
      </c>
      <c r="S27" s="13">
        <v>1.1742698248626207</v>
      </c>
      <c r="T27" s="42">
        <v>0.43313263156757692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15">
      <c r="A28" s="40" t="s">
        <v>59</v>
      </c>
      <c r="B28">
        <v>0.5</v>
      </c>
      <c r="C28" s="13"/>
      <c r="D28" s="4">
        <v>0.35718424747696359</v>
      </c>
      <c r="E28" s="13">
        <v>0.22364853754708097</v>
      </c>
      <c r="F28" s="13">
        <v>0.35221868321513006</v>
      </c>
      <c r="G28" s="13">
        <v>0.44043976715176714</v>
      </c>
      <c r="H28" s="13">
        <v>0.62731813122420621</v>
      </c>
      <c r="I28" s="13">
        <v>0.46206761301132521</v>
      </c>
      <c r="J28" s="13">
        <v>0.317760679197995</v>
      </c>
      <c r="K28" s="13">
        <v>0.28112834505862644</v>
      </c>
      <c r="L28" s="42">
        <v>0.15999325881497636</v>
      </c>
      <c r="M28" s="13"/>
      <c r="N28" s="4">
        <v>1.7356121393079413</v>
      </c>
      <c r="O28" s="13">
        <v>0.5146914749662348</v>
      </c>
      <c r="P28" s="42">
        <v>0.33878863937131765</v>
      </c>
      <c r="Q28" s="13"/>
      <c r="R28" s="4">
        <v>0.36285792311525789</v>
      </c>
      <c r="S28" s="13">
        <v>1.2593965012481192</v>
      </c>
      <c r="T28" s="42">
        <v>0.4728347577976193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15">
      <c r="A29" s="40" t="s">
        <v>60</v>
      </c>
      <c r="B29">
        <v>0.625</v>
      </c>
      <c r="C29" s="13"/>
      <c r="D29" s="4">
        <v>0.33464651515151511</v>
      </c>
      <c r="E29" s="13">
        <v>0.17455221314781202</v>
      </c>
      <c r="F29" s="13">
        <v>0.30352311916101848</v>
      </c>
      <c r="G29" s="13">
        <v>0.37559553089160191</v>
      </c>
      <c r="H29" s="13">
        <v>0.57388474140047263</v>
      </c>
      <c r="I29" s="13">
        <v>0.42654957956730766</v>
      </c>
      <c r="J29" s="13">
        <v>0.26932982718316917</v>
      </c>
      <c r="K29" s="13">
        <v>0.2403522330097087</v>
      </c>
      <c r="L29" s="42">
        <v>0.14528847528428868</v>
      </c>
      <c r="M29" s="13"/>
      <c r="N29" s="4">
        <v>1.6496094837589022</v>
      </c>
      <c r="O29" s="13">
        <v>0.43309709570229205</v>
      </c>
      <c r="P29" s="42">
        <v>0.30866785193477109</v>
      </c>
      <c r="Q29" s="13"/>
      <c r="R29" s="4">
        <v>0.37060086683201532</v>
      </c>
      <c r="S29" s="13">
        <v>1.1144408657266798</v>
      </c>
      <c r="T29" s="42">
        <v>0.41159742091782847</v>
      </c>
      <c r="U29" s="5"/>
    </row>
    <row r="30" spans="1:35" x14ac:dyDescent="0.15">
      <c r="A30" s="40" t="s">
        <v>61</v>
      </c>
      <c r="B30">
        <v>0.75</v>
      </c>
      <c r="C30" s="13"/>
      <c r="D30" s="4">
        <v>0.31412929431072206</v>
      </c>
      <c r="E30" s="13">
        <v>0.16112930323420882</v>
      </c>
      <c r="F30" s="13">
        <v>0.26706454591138784</v>
      </c>
      <c r="G30" s="13">
        <v>0.35711453254225101</v>
      </c>
      <c r="H30" s="13">
        <v>0.55037224041682509</v>
      </c>
      <c r="I30" s="13">
        <v>0.40527778739601772</v>
      </c>
      <c r="J30" s="13">
        <v>0.26205305555555553</v>
      </c>
      <c r="K30" s="13">
        <v>0.22093203703703704</v>
      </c>
      <c r="L30" s="42">
        <v>0.14235407713173723</v>
      </c>
      <c r="M30" s="13"/>
      <c r="N30" s="4">
        <v>1.5484556019424591</v>
      </c>
      <c r="O30" s="13">
        <v>0.43818873517662493</v>
      </c>
      <c r="P30" s="42">
        <v>0.32162706970401955</v>
      </c>
      <c r="Q30" s="13"/>
      <c r="R30" s="4">
        <v>0.33800505229525502</v>
      </c>
      <c r="S30" s="13">
        <v>1.0636890506927497</v>
      </c>
      <c r="T30" s="42">
        <v>0.40383982501596194</v>
      </c>
      <c r="U30" s="5"/>
    </row>
    <row r="31" spans="1:35" x14ac:dyDescent="0.15">
      <c r="A31" s="40" t="s">
        <v>62</v>
      </c>
      <c r="B31">
        <v>0.875</v>
      </c>
      <c r="C31" s="13"/>
      <c r="D31" s="4">
        <v>0.34351698882862836</v>
      </c>
      <c r="E31" s="13">
        <v>0.15173608120035303</v>
      </c>
      <c r="F31" s="13">
        <v>0.27540905148878791</v>
      </c>
      <c r="G31" s="13">
        <v>0.40212041981901792</v>
      </c>
      <c r="H31" s="13">
        <v>0.55726963661376017</v>
      </c>
      <c r="I31" s="13">
        <v>0.41786064857067656</v>
      </c>
      <c r="J31" s="13">
        <v>0.2785185</v>
      </c>
      <c r="K31" s="13">
        <v>0.23112283887229274</v>
      </c>
      <c r="L31" s="42">
        <v>0.14934352099236642</v>
      </c>
      <c r="M31" s="13"/>
      <c r="N31" s="4">
        <v>1.6592150280345532</v>
      </c>
      <c r="O31" s="13">
        <v>0.43824458669154709</v>
      </c>
      <c r="P31" s="42">
        <v>0.32909624518958691</v>
      </c>
      <c r="Q31" s="13"/>
      <c r="R31" s="4">
        <v>0.37426709081396248</v>
      </c>
      <c r="S31" s="13">
        <v>1.0771761863362279</v>
      </c>
      <c r="T31" s="42">
        <v>0.45184946100866452</v>
      </c>
      <c r="U31" s="5"/>
    </row>
    <row r="32" spans="1:35" x14ac:dyDescent="0.15">
      <c r="A32" s="40" t="s">
        <v>63</v>
      </c>
      <c r="B32">
        <v>1</v>
      </c>
      <c r="C32" s="13"/>
      <c r="D32" s="4">
        <v>0.34104226180773456</v>
      </c>
      <c r="E32" s="13">
        <v>0.11567383645730911</v>
      </c>
      <c r="F32" s="13">
        <v>0.28589989324745413</v>
      </c>
      <c r="G32" s="13">
        <v>0.43136565045248865</v>
      </c>
      <c r="H32" s="13">
        <v>0.61675574199076921</v>
      </c>
      <c r="I32" s="13">
        <v>0.44630630019210382</v>
      </c>
      <c r="J32" s="13">
        <v>0.29468373831775702</v>
      </c>
      <c r="K32" s="13">
        <v>0.24711306153846152</v>
      </c>
      <c r="L32" s="42">
        <v>0.16488201537307834</v>
      </c>
      <c r="M32" s="13"/>
      <c r="N32" s="4">
        <v>1.8129466081085295</v>
      </c>
      <c r="O32" s="13">
        <v>0.45297672277347112</v>
      </c>
      <c r="P32" s="42">
        <v>0.33552674324489085</v>
      </c>
      <c r="Q32" s="13"/>
      <c r="R32" s="4">
        <v>0.35740795185057883</v>
      </c>
      <c r="S32" s="13">
        <v>1.172820132210715</v>
      </c>
      <c r="T32" s="42">
        <v>0.43739613860690629</v>
      </c>
    </row>
    <row r="33" spans="1:20" x14ac:dyDescent="0.15">
      <c r="A33" s="40" t="s">
        <v>64</v>
      </c>
      <c r="B33">
        <v>1.125</v>
      </c>
      <c r="C33" s="13"/>
      <c r="D33" s="4">
        <v>0.31982904550119734</v>
      </c>
      <c r="E33" s="13">
        <v>0.10482625521993057</v>
      </c>
      <c r="F33" s="13">
        <v>0.26272338131344763</v>
      </c>
      <c r="G33" s="13">
        <v>0.4006726913830666</v>
      </c>
      <c r="H33" s="13">
        <v>0.56059524388300108</v>
      </c>
      <c r="I33" s="13">
        <v>0.41758664349845198</v>
      </c>
      <c r="J33" s="13">
        <v>0.28191248190644302</v>
      </c>
      <c r="K33" s="13">
        <v>0.24728437830687827</v>
      </c>
      <c r="L33" s="42">
        <v>0.14976883116883116</v>
      </c>
      <c r="M33" s="13"/>
      <c r="N33" s="4">
        <v>1.7253483681282413</v>
      </c>
      <c r="O33" s="13">
        <v>0.44617379839999993</v>
      </c>
      <c r="P33" s="42">
        <v>0.33994566055177811</v>
      </c>
      <c r="Q33" s="13"/>
      <c r="R33" s="4">
        <v>0.35628605834535693</v>
      </c>
      <c r="S33" s="13">
        <v>1.1207773170473372</v>
      </c>
      <c r="T33" s="42">
        <v>0.42281565380352293</v>
      </c>
    </row>
    <row r="34" spans="1:20" x14ac:dyDescent="0.15">
      <c r="A34" s="40" t="s">
        <v>65</v>
      </c>
      <c r="B34">
        <v>1.25</v>
      </c>
      <c r="C34" s="13"/>
      <c r="D34" s="4">
        <v>0.31268623522837802</v>
      </c>
      <c r="E34" s="13">
        <v>8.2999892955948062E-2</v>
      </c>
      <c r="F34" s="13">
        <v>0.22287841463414632</v>
      </c>
      <c r="G34" s="13">
        <v>0.39141151960784315</v>
      </c>
      <c r="H34" s="13">
        <v>0.57900187610782139</v>
      </c>
      <c r="I34" s="13">
        <v>0.42282865127588276</v>
      </c>
      <c r="J34" s="13">
        <v>0.28981118181818177</v>
      </c>
      <c r="K34" s="13">
        <v>0.25476909586056645</v>
      </c>
      <c r="L34" s="42">
        <v>0.15919296947496947</v>
      </c>
      <c r="M34" s="13"/>
      <c r="N34" s="4">
        <v>1.5480785744202148</v>
      </c>
      <c r="O34" s="13">
        <v>0.42777528054119035</v>
      </c>
      <c r="P34" s="42">
        <v>0.34674603356732525</v>
      </c>
      <c r="Q34" s="13"/>
      <c r="R34" s="4">
        <v>0.31556813265355321</v>
      </c>
      <c r="S34" s="13">
        <v>1.0458345487097085</v>
      </c>
      <c r="T34" s="42">
        <v>0.43046673547839392</v>
      </c>
    </row>
    <row r="35" spans="1:20" x14ac:dyDescent="0.15">
      <c r="A35" s="40" t="s">
        <v>66</v>
      </c>
      <c r="B35">
        <v>1.375</v>
      </c>
      <c r="C35" s="13"/>
      <c r="D35" s="4">
        <v>0.28920971035137699</v>
      </c>
      <c r="E35" s="13">
        <v>6.3690573641720788E-2</v>
      </c>
      <c r="F35" s="13">
        <v>0.2082405897381307</v>
      </c>
      <c r="G35" s="13">
        <v>0.37982816165270372</v>
      </c>
      <c r="H35" s="13">
        <v>0.56451636143354955</v>
      </c>
      <c r="I35" s="13">
        <v>0.41699088363387737</v>
      </c>
      <c r="J35" s="13">
        <v>0.28194719902319898</v>
      </c>
      <c r="K35" s="13">
        <v>0.24345045028630918</v>
      </c>
      <c r="L35" s="42">
        <v>0.14320923076923076</v>
      </c>
      <c r="M35" s="13"/>
      <c r="N35" s="4">
        <v>1.6079009564136579</v>
      </c>
      <c r="O35" s="13">
        <v>0.4110147603211084</v>
      </c>
      <c r="P35" s="42">
        <v>0.32151392437522985</v>
      </c>
      <c r="Q35" s="13"/>
      <c r="R35" s="4">
        <v>0.31548119107617756</v>
      </c>
      <c r="S35" s="13">
        <v>0.96008573028645539</v>
      </c>
      <c r="T35" s="42">
        <v>0.41497727342878704</v>
      </c>
    </row>
    <row r="36" spans="1:20" x14ac:dyDescent="0.15">
      <c r="A36" s="40" t="s">
        <v>67</v>
      </c>
      <c r="B36">
        <v>1.5</v>
      </c>
      <c r="C36" s="13"/>
      <c r="D36" s="4">
        <v>0.29558851489686783</v>
      </c>
      <c r="E36" s="13">
        <v>5.7584720297951572E-2</v>
      </c>
      <c r="F36" s="13">
        <v>0.2110978046517023</v>
      </c>
      <c r="G36" s="13">
        <v>0.37567483606557373</v>
      </c>
      <c r="H36" s="13">
        <v>0.53486607959463228</v>
      </c>
      <c r="I36" s="13">
        <v>0.40618204345763459</v>
      </c>
      <c r="J36" s="13">
        <v>0.28045083018867922</v>
      </c>
      <c r="K36" s="13">
        <v>0.23339890111642742</v>
      </c>
      <c r="L36" s="42">
        <v>0.14561262087912089</v>
      </c>
      <c r="M36" s="13"/>
      <c r="N36" s="4">
        <v>1.5699962064669846</v>
      </c>
      <c r="O36" s="13">
        <v>0.39459114117136662</v>
      </c>
      <c r="P36" s="42">
        <v>0.31758131302697701</v>
      </c>
      <c r="Q36" s="13"/>
      <c r="R36" s="4">
        <v>0.30154619331957483</v>
      </c>
      <c r="S36" s="13">
        <v>0.94829770785786449</v>
      </c>
      <c r="T36" s="42">
        <v>0.39628108670695067</v>
      </c>
    </row>
    <row r="37" spans="1:20" x14ac:dyDescent="0.15">
      <c r="A37" s="40" t="s">
        <v>68</v>
      </c>
      <c r="B37">
        <v>1.75</v>
      </c>
      <c r="C37" s="13"/>
      <c r="D37" s="4">
        <v>0.26846821376414748</v>
      </c>
      <c r="E37" s="13">
        <v>4.3681812427153244E-2</v>
      </c>
      <c r="F37" s="13">
        <v>0.17645738754561263</v>
      </c>
      <c r="G37" s="13">
        <v>0.34699242665933261</v>
      </c>
      <c r="H37" s="13">
        <v>0.50574051075679272</v>
      </c>
      <c r="I37" s="13">
        <v>0.3739005832589285</v>
      </c>
      <c r="J37" s="13">
        <v>0.26452834438211797</v>
      </c>
      <c r="K37" s="13">
        <v>0.21970686813186813</v>
      </c>
      <c r="L37" s="42">
        <v>0.13742972640382317</v>
      </c>
      <c r="M37" s="13"/>
      <c r="N37" s="4">
        <v>1.527721684933439</v>
      </c>
      <c r="O37" s="13">
        <v>0.38349422166199809</v>
      </c>
      <c r="P37" s="42">
        <v>0.31166044404033333</v>
      </c>
      <c r="Q37" s="13"/>
      <c r="R37" s="4">
        <v>0.28313412717774616</v>
      </c>
      <c r="S37" s="13">
        <v>0.88578908139767865</v>
      </c>
      <c r="T37" s="42">
        <v>0.37807062889182785</v>
      </c>
    </row>
    <row r="38" spans="1:20" x14ac:dyDescent="0.15">
      <c r="A38" s="40" t="s">
        <v>69</v>
      </c>
      <c r="B38">
        <v>2</v>
      </c>
      <c r="C38" s="13"/>
      <c r="D38" s="4">
        <v>0.24734420884417446</v>
      </c>
      <c r="E38" s="13">
        <v>3.0191681690091537E-2</v>
      </c>
      <c r="F38" s="13">
        <v>0.15181429972232779</v>
      </c>
      <c r="G38" s="13">
        <v>0.34571086283185842</v>
      </c>
      <c r="H38" s="13">
        <v>0.52320510896533068</v>
      </c>
      <c r="I38" s="13">
        <v>0.38359778610119044</v>
      </c>
      <c r="J38" s="13">
        <v>0.2669955</v>
      </c>
      <c r="K38" s="13">
        <v>0.22192332628497072</v>
      </c>
      <c r="L38" s="42">
        <v>0.13268319557566616</v>
      </c>
      <c r="M38" s="13"/>
      <c r="N38" s="4">
        <v>1.5544380672903795</v>
      </c>
      <c r="O38" s="13">
        <v>0.39520083226045277</v>
      </c>
      <c r="P38" s="42">
        <v>0.29222353535836659</v>
      </c>
      <c r="Q38" s="13"/>
      <c r="R38" s="4">
        <v>0.25120389493578277</v>
      </c>
      <c r="S38" s="13">
        <v>0.80418151169193386</v>
      </c>
      <c r="T38" s="42">
        <v>0.36209026091937213</v>
      </c>
    </row>
    <row r="39" spans="1:20" x14ac:dyDescent="0.15">
      <c r="A39" s="40" t="s">
        <v>70</v>
      </c>
      <c r="B39">
        <v>2.25</v>
      </c>
      <c r="C39" s="13"/>
      <c r="D39" s="4">
        <v>0.24676620894137058</v>
      </c>
      <c r="E39" s="13">
        <v>2.064583804086538E-2</v>
      </c>
      <c r="F39" s="13">
        <v>0.1342688218163029</v>
      </c>
      <c r="G39" s="13">
        <v>0.37911604457913772</v>
      </c>
      <c r="H39" s="13">
        <v>0.5322716982416501</v>
      </c>
      <c r="I39" s="13">
        <v>0.4135919171720458</v>
      </c>
      <c r="J39" s="13">
        <v>0.30150282506934811</v>
      </c>
      <c r="K39" s="13">
        <v>0.25643202404809617</v>
      </c>
      <c r="L39" s="42">
        <v>0.15037110942578547</v>
      </c>
      <c r="M39" s="13"/>
      <c r="N39" s="4">
        <v>1.6310734846153847</v>
      </c>
      <c r="O39" s="13">
        <v>0.40663708492801454</v>
      </c>
      <c r="P39" s="42">
        <v>0.30827717812724093</v>
      </c>
      <c r="Q39" s="13"/>
      <c r="R39" s="4">
        <v>0.27268799008462552</v>
      </c>
      <c r="S39" s="13">
        <v>0.81605715789331024</v>
      </c>
      <c r="T39" s="42">
        <v>0.37806581445281395</v>
      </c>
    </row>
    <row r="40" spans="1:20" x14ac:dyDescent="0.15">
      <c r="A40" s="40" t="s">
        <v>71</v>
      </c>
      <c r="B40">
        <v>2.5</v>
      </c>
      <c r="C40" s="13"/>
      <c r="D40" s="4">
        <v>0.24234435543052835</v>
      </c>
      <c r="E40" s="13">
        <v>1.3929930054289257E-2</v>
      </c>
      <c r="F40" s="13">
        <v>0.12359981183327109</v>
      </c>
      <c r="G40" s="13">
        <v>0.38195896577306354</v>
      </c>
      <c r="H40" s="13">
        <v>0.56989803465297584</v>
      </c>
      <c r="I40" s="13">
        <v>0.41500415459347534</v>
      </c>
      <c r="J40" s="13">
        <v>0.31583557407407403</v>
      </c>
      <c r="K40" s="13">
        <v>0.27665336709072647</v>
      </c>
      <c r="L40" s="42">
        <v>0.14979528710725892</v>
      </c>
      <c r="M40" s="13"/>
      <c r="N40" s="4">
        <v>1.7148242088817272</v>
      </c>
      <c r="O40" s="13">
        <v>0.41298576141052212</v>
      </c>
      <c r="P40" s="42">
        <v>0.31380018118696013</v>
      </c>
      <c r="Q40" s="13"/>
      <c r="R40" s="4">
        <v>0.24993062795582505</v>
      </c>
      <c r="S40" s="13">
        <v>0.76553974472225439</v>
      </c>
      <c r="T40" s="42">
        <v>0.3981113134259866</v>
      </c>
    </row>
    <row r="41" spans="1:20" x14ac:dyDescent="0.15">
      <c r="A41" s="40" t="s">
        <v>72</v>
      </c>
      <c r="B41">
        <v>2.75</v>
      </c>
      <c r="C41" s="13"/>
      <c r="D41" s="4">
        <v>0.20606989010989007</v>
      </c>
      <c r="E41" s="13">
        <v>1.0764636805102559E-2</v>
      </c>
      <c r="F41" s="13">
        <v>9.7647143242743206E-2</v>
      </c>
      <c r="G41" s="13">
        <v>0.32561587619010834</v>
      </c>
      <c r="H41" s="13">
        <v>0.47843693671291088</v>
      </c>
      <c r="I41" s="13">
        <v>0.34559823199587592</v>
      </c>
      <c r="J41" s="13">
        <v>0.26476808793800544</v>
      </c>
      <c r="K41" s="13">
        <v>0.22380295238095238</v>
      </c>
      <c r="L41" s="42">
        <v>0.12712847008547007</v>
      </c>
      <c r="M41" s="13"/>
      <c r="N41" s="4">
        <v>1.4022058074831025</v>
      </c>
      <c r="O41" s="13">
        <v>0.32937481605456448</v>
      </c>
      <c r="P41" s="42">
        <v>0.25788353042973283</v>
      </c>
      <c r="Q41" s="13"/>
      <c r="R41" s="4">
        <v>0.24163003689260748</v>
      </c>
      <c r="S41" s="13">
        <v>0.62699566220280523</v>
      </c>
      <c r="T41" s="42">
        <v>0.33413892684569069</v>
      </c>
    </row>
    <row r="42" spans="1:20" x14ac:dyDescent="0.15">
      <c r="A42" s="40" t="s">
        <v>73</v>
      </c>
      <c r="B42">
        <v>3</v>
      </c>
      <c r="C42" s="13"/>
      <c r="D42" s="4">
        <v>0.24881096927819243</v>
      </c>
      <c r="E42" s="13">
        <v>7.0422073936333551E-3</v>
      </c>
      <c r="F42" s="13">
        <v>0.10615802861685214</v>
      </c>
      <c r="G42" s="13">
        <v>0.39475637643176076</v>
      </c>
      <c r="H42" s="13">
        <v>0.5900510202979441</v>
      </c>
      <c r="I42" s="13">
        <v>0.44264912152658659</v>
      </c>
      <c r="J42" s="13">
        <v>0.29769428037383172</v>
      </c>
      <c r="K42" s="13">
        <v>0.24531112149532708</v>
      </c>
      <c r="L42" s="42">
        <v>0.16850680333646617</v>
      </c>
      <c r="M42" s="13"/>
      <c r="N42" s="4">
        <v>1.7550129555555556</v>
      </c>
      <c r="O42" s="13">
        <v>0.43404746578947362</v>
      </c>
      <c r="P42" s="42">
        <v>0.36803821937856684</v>
      </c>
      <c r="Q42" s="13"/>
      <c r="R42" s="4">
        <v>0.23831458956188734</v>
      </c>
      <c r="S42" s="13">
        <v>0.70930642829815049</v>
      </c>
      <c r="T42" s="42">
        <v>0.40639624815179332</v>
      </c>
    </row>
    <row r="43" spans="1:20" x14ac:dyDescent="0.15">
      <c r="A43" s="40" t="s">
        <v>74</v>
      </c>
      <c r="B43">
        <v>3.25</v>
      </c>
      <c r="C43" s="13"/>
      <c r="D43" s="4">
        <v>0.24312262016064984</v>
      </c>
      <c r="E43" s="13">
        <v>6.1609582931087606E-3</v>
      </c>
      <c r="F43" s="13">
        <v>9.4911793070236089E-2</v>
      </c>
      <c r="G43" s="13">
        <v>0.41679823662966697</v>
      </c>
      <c r="H43" s="13">
        <v>0.61771366740285549</v>
      </c>
      <c r="I43" s="13">
        <v>0.47206507955371468</v>
      </c>
      <c r="J43" s="13">
        <v>0.32233174645390067</v>
      </c>
      <c r="K43" s="13">
        <v>0.26958577447552445</v>
      </c>
      <c r="L43" s="42">
        <v>0.17243703111111108</v>
      </c>
      <c r="M43" s="13"/>
      <c r="N43" s="4">
        <v>1.7299514532255165</v>
      </c>
      <c r="O43" s="13">
        <v>0.48058335851763295</v>
      </c>
      <c r="P43" s="42">
        <v>0.3895408434256632</v>
      </c>
      <c r="Q43" s="13"/>
      <c r="R43" s="4">
        <v>0.21742046553853697</v>
      </c>
      <c r="S43" s="13">
        <v>0.70027975635852102</v>
      </c>
      <c r="T43" s="42">
        <v>0.4187738775380172</v>
      </c>
    </row>
    <row r="44" spans="1:20" x14ac:dyDescent="0.15">
      <c r="A44" s="40" t="s">
        <v>75</v>
      </c>
      <c r="B44">
        <v>3.5</v>
      </c>
      <c r="C44" s="13"/>
      <c r="D44" s="4">
        <v>0.19905611587982833</v>
      </c>
      <c r="E44" s="13">
        <v>4.021269076014064E-3</v>
      </c>
      <c r="F44" s="13">
        <v>7.5212094083657199E-2</v>
      </c>
      <c r="G44" s="13">
        <v>0.35550283065029109</v>
      </c>
      <c r="H44" s="13">
        <v>0.54390841361893583</v>
      </c>
      <c r="I44" s="13">
        <v>0.39339066577427484</v>
      </c>
      <c r="J44" s="13">
        <v>0.28016816582002901</v>
      </c>
      <c r="K44" s="13">
        <v>0.23173584905660374</v>
      </c>
      <c r="L44" s="42">
        <v>0.14411327276398145</v>
      </c>
      <c r="M44" s="13"/>
      <c r="N44" s="4">
        <v>1.5402910640776697</v>
      </c>
      <c r="O44" s="13">
        <v>0.38476810877922074</v>
      </c>
      <c r="P44" s="42">
        <v>0.31328741762896906</v>
      </c>
      <c r="Q44" s="13"/>
      <c r="R44" s="4">
        <v>0.21919435954287891</v>
      </c>
      <c r="S44" s="13">
        <v>0.56143756133512923</v>
      </c>
      <c r="T44" s="42">
        <v>0.36257965265843556</v>
      </c>
    </row>
    <row r="45" spans="1:20" x14ac:dyDescent="0.15">
      <c r="A45" s="40" t="s">
        <v>76</v>
      </c>
      <c r="B45">
        <v>3.75</v>
      </c>
      <c r="C45" s="13"/>
      <c r="D45" s="4">
        <v>0.18813533339324701</v>
      </c>
      <c r="E45" s="23" t="s">
        <v>172</v>
      </c>
      <c r="F45" s="13">
        <v>6.1172050241392113E-2</v>
      </c>
      <c r="G45" s="13">
        <v>0.31560084112149528</v>
      </c>
      <c r="H45" s="13">
        <v>0.47542373783509329</v>
      </c>
      <c r="I45" s="13">
        <v>0.35379389137931039</v>
      </c>
      <c r="J45" s="13">
        <v>0.24838302654867256</v>
      </c>
      <c r="K45" s="13">
        <v>0.21035609250398724</v>
      </c>
      <c r="L45" s="42">
        <v>0.12867862184873949</v>
      </c>
      <c r="M45" s="13"/>
      <c r="N45" s="4">
        <v>1.4439877306779523</v>
      </c>
      <c r="O45" s="13">
        <v>0.30129011582654064</v>
      </c>
      <c r="P45" s="42">
        <v>0.26806526859185636</v>
      </c>
      <c r="Q45" s="13"/>
      <c r="R45" s="4">
        <v>0.20523238731650606</v>
      </c>
      <c r="S45" s="13">
        <v>0.47141683599224804</v>
      </c>
      <c r="T45" s="42">
        <v>0.31958720671427243</v>
      </c>
    </row>
    <row r="46" spans="1:20" x14ac:dyDescent="0.15">
      <c r="A46" s="40" t="s">
        <v>77</v>
      </c>
      <c r="B46">
        <v>4</v>
      </c>
      <c r="C46" s="13"/>
      <c r="D46" s="4">
        <v>0.18803268924058397</v>
      </c>
      <c r="E46" s="13"/>
      <c r="F46" s="13">
        <v>6.1986746495327094E-2</v>
      </c>
      <c r="G46" s="13">
        <v>0.37180024216524221</v>
      </c>
      <c r="H46" s="13">
        <v>0.53610715815538823</v>
      </c>
      <c r="I46" s="13">
        <v>0.40934155191697186</v>
      </c>
      <c r="J46" s="13">
        <v>0.26465906542056072</v>
      </c>
      <c r="K46" s="13">
        <v>0.22992959265734264</v>
      </c>
      <c r="L46" s="42">
        <v>0.1360441958041958</v>
      </c>
      <c r="M46" s="13"/>
      <c r="N46" s="4">
        <v>1.7167619496296296</v>
      </c>
      <c r="O46" s="13">
        <v>0.37263849404824606</v>
      </c>
      <c r="P46" s="42">
        <v>0.32660775634343431</v>
      </c>
      <c r="Q46" s="13"/>
      <c r="R46" s="4">
        <v>0.18478566614986072</v>
      </c>
      <c r="S46" s="13">
        <v>0.52617545795103504</v>
      </c>
      <c r="T46" s="42">
        <v>0.37720423475555609</v>
      </c>
    </row>
    <row r="47" spans="1:20" x14ac:dyDescent="0.15">
      <c r="A47" s="40" t="s">
        <v>78</v>
      </c>
      <c r="B47">
        <v>4.25</v>
      </c>
      <c r="C47" s="13"/>
      <c r="D47" s="4">
        <v>0.16445800514235545</v>
      </c>
      <c r="E47" s="13"/>
      <c r="F47" s="13">
        <v>5.5133511682755591E-2</v>
      </c>
      <c r="G47" s="13">
        <v>0.35612300514579759</v>
      </c>
      <c r="H47" s="13">
        <v>0.50357409975898826</v>
      </c>
      <c r="I47" s="13">
        <v>0.38763947886444461</v>
      </c>
      <c r="J47" s="13">
        <v>0.27602296005293192</v>
      </c>
      <c r="K47" s="13">
        <v>0.24180484010233452</v>
      </c>
      <c r="L47" s="42">
        <v>0.13314990244914904</v>
      </c>
      <c r="M47" s="13"/>
      <c r="N47" s="4">
        <v>1.4438656263636362</v>
      </c>
      <c r="O47" s="13">
        <v>0.34823582748342574</v>
      </c>
      <c r="P47" s="42">
        <v>0.30013075056334571</v>
      </c>
      <c r="Q47" s="13"/>
      <c r="R47" s="4">
        <v>0.19567177301735009</v>
      </c>
      <c r="S47" s="13">
        <v>0.46849780934550589</v>
      </c>
      <c r="T47" s="42">
        <v>0.36544240378412896</v>
      </c>
    </row>
    <row r="48" spans="1:20" x14ac:dyDescent="0.15">
      <c r="A48" s="40" t="s">
        <v>79</v>
      </c>
      <c r="B48">
        <v>4.5</v>
      </c>
      <c r="C48" s="13"/>
      <c r="D48" s="4">
        <v>0.16764732695345164</v>
      </c>
      <c r="E48" s="13"/>
      <c r="F48" s="13">
        <v>4.6161752621123493E-2</v>
      </c>
      <c r="G48" s="13">
        <v>0.36927352508846745</v>
      </c>
      <c r="H48" s="13">
        <v>0.53377086304836019</v>
      </c>
      <c r="I48" s="13">
        <v>0.40316635806661927</v>
      </c>
      <c r="J48" s="13">
        <v>0.25472910714285713</v>
      </c>
      <c r="K48" s="13">
        <v>0.20172759411196911</v>
      </c>
      <c r="L48" s="42">
        <v>0.1379494539284245</v>
      </c>
      <c r="M48" s="13"/>
      <c r="N48" s="4">
        <v>1.6162374413793104</v>
      </c>
      <c r="O48" s="13">
        <v>0.34391290105733308</v>
      </c>
      <c r="P48" s="42">
        <v>0.32834144469551552</v>
      </c>
      <c r="Q48" s="13"/>
      <c r="R48" s="4">
        <v>0.16039568867333431</v>
      </c>
      <c r="S48" s="13">
        <v>0.44634629966385631</v>
      </c>
      <c r="T48" s="42">
        <v>0.34633639678586131</v>
      </c>
    </row>
    <row r="49" spans="1:20" x14ac:dyDescent="0.15">
      <c r="A49" s="40" t="s">
        <v>80</v>
      </c>
      <c r="B49">
        <v>5</v>
      </c>
      <c r="C49" s="13"/>
      <c r="D49" s="4">
        <v>0.14513304674361277</v>
      </c>
      <c r="E49" s="13"/>
      <c r="F49" s="13">
        <v>3.5927862778830887E-2</v>
      </c>
      <c r="G49" s="13">
        <v>0.35378665824915823</v>
      </c>
      <c r="H49" s="13">
        <v>0.52419407706415455</v>
      </c>
      <c r="I49" s="13">
        <v>0.38499885254812682</v>
      </c>
      <c r="J49" s="13">
        <v>0.26026767514124294</v>
      </c>
      <c r="K49" s="13">
        <v>0.22630213867488441</v>
      </c>
      <c r="L49" s="42">
        <v>0.12683652243589744</v>
      </c>
      <c r="M49" s="13"/>
      <c r="N49" s="4">
        <v>1.5498774880331658</v>
      </c>
      <c r="O49" s="13">
        <v>0.35875614588450311</v>
      </c>
      <c r="P49" s="42">
        <v>0.2789239520043087</v>
      </c>
      <c r="Q49" s="13"/>
      <c r="R49" s="4">
        <v>0.15846644620098183</v>
      </c>
      <c r="S49" s="13">
        <v>0.37713798591473402</v>
      </c>
      <c r="T49" s="42">
        <v>0.34224048023488651</v>
      </c>
    </row>
    <row r="50" spans="1:20" x14ac:dyDescent="0.15">
      <c r="A50" s="40" t="s">
        <v>81</v>
      </c>
      <c r="B50">
        <v>5.5</v>
      </c>
      <c r="C50" s="13"/>
      <c r="D50" s="4">
        <v>0.13311920386031045</v>
      </c>
      <c r="E50" s="13"/>
      <c r="F50" s="13">
        <v>2.9059542290446227E-2</v>
      </c>
      <c r="G50" s="13">
        <v>0.34259205169340456</v>
      </c>
      <c r="H50" s="13">
        <v>0.51768680492415886</v>
      </c>
      <c r="I50" s="13">
        <v>0.39531359182082682</v>
      </c>
      <c r="J50" s="13">
        <v>0.27716277777777776</v>
      </c>
      <c r="K50" s="13">
        <v>0.24150031476050829</v>
      </c>
      <c r="L50" s="42">
        <v>0.13356912431179369</v>
      </c>
      <c r="M50" s="13"/>
      <c r="N50" s="4">
        <v>1.4175909360834518</v>
      </c>
      <c r="O50" s="13">
        <v>0.38862950151802478</v>
      </c>
      <c r="P50" s="42">
        <v>0.29933307901506256</v>
      </c>
      <c r="Q50" s="13"/>
      <c r="R50" s="4">
        <v>0.15122911853555204</v>
      </c>
      <c r="S50" s="13">
        <v>0.34132381185419092</v>
      </c>
      <c r="T50" s="42">
        <v>0.33291003748387843</v>
      </c>
    </row>
    <row r="51" spans="1:20" x14ac:dyDescent="0.15">
      <c r="A51" s="40" t="s">
        <v>82</v>
      </c>
      <c r="B51">
        <v>6</v>
      </c>
      <c r="C51" s="13"/>
      <c r="D51" s="4">
        <v>0.12495305156716686</v>
      </c>
      <c r="E51" s="13"/>
      <c r="F51" s="13">
        <v>2.0585405299181105E-2</v>
      </c>
      <c r="G51" s="13">
        <v>0.35288784276729557</v>
      </c>
      <c r="H51" s="13">
        <v>0.52911635473041074</v>
      </c>
      <c r="I51" s="13">
        <v>0.39662868402863305</v>
      </c>
      <c r="J51" s="13">
        <v>0.26299674336283185</v>
      </c>
      <c r="K51" s="13">
        <v>0.21948784999999998</v>
      </c>
      <c r="L51" s="42">
        <v>0.13965687869015134</v>
      </c>
      <c r="M51" s="13"/>
      <c r="N51" s="4">
        <v>1.5191729415285598</v>
      </c>
      <c r="O51" s="13">
        <v>0.38600818170798645</v>
      </c>
      <c r="P51" s="42">
        <v>0.28876079362915663</v>
      </c>
      <c r="Q51" s="13"/>
      <c r="R51" s="4">
        <v>0.12991640913966901</v>
      </c>
      <c r="S51" s="13">
        <v>0.30576454411808252</v>
      </c>
      <c r="T51" s="42">
        <v>0.3174774251195252</v>
      </c>
    </row>
    <row r="52" spans="1:20" x14ac:dyDescent="0.15">
      <c r="A52" s="40" t="s">
        <v>83</v>
      </c>
      <c r="B52">
        <v>6.5</v>
      </c>
      <c r="C52" s="13"/>
      <c r="D52" s="4">
        <v>0.11753056425982714</v>
      </c>
      <c r="E52" s="13"/>
      <c r="F52" s="13">
        <v>1.5288299556098084E-2</v>
      </c>
      <c r="G52" s="13">
        <v>0.34354587855716545</v>
      </c>
      <c r="H52" s="13">
        <v>0.53671405094153446</v>
      </c>
      <c r="I52" s="13">
        <v>0.3937629622767857</v>
      </c>
      <c r="J52" s="13">
        <v>0.29041784313725494</v>
      </c>
      <c r="K52" s="13">
        <v>0.24168984642541924</v>
      </c>
      <c r="L52" s="42">
        <v>0.13519303030303031</v>
      </c>
      <c r="M52" s="13"/>
      <c r="N52" s="4">
        <v>1.5058178282952221</v>
      </c>
      <c r="O52" s="13">
        <v>0.35297057702616741</v>
      </c>
      <c r="P52" s="42">
        <v>0.32535093971529305</v>
      </c>
      <c r="Q52" s="13"/>
      <c r="R52" s="4">
        <v>0.1391569890355262</v>
      </c>
      <c r="S52" s="13">
        <v>0.25758186398188337</v>
      </c>
      <c r="T52" s="42">
        <v>0.31904955624273024</v>
      </c>
    </row>
    <row r="53" spans="1:20" x14ac:dyDescent="0.15">
      <c r="A53" s="40" t="s">
        <v>84</v>
      </c>
      <c r="B53">
        <v>7</v>
      </c>
      <c r="C53" s="13"/>
      <c r="D53" s="4">
        <v>0.13514684618645123</v>
      </c>
      <c r="E53" s="13"/>
      <c r="F53" s="13">
        <v>1.4127481939910733E-2</v>
      </c>
      <c r="G53" s="13">
        <v>0.34943994964753267</v>
      </c>
      <c r="H53" s="13">
        <v>0.53358901809822123</v>
      </c>
      <c r="I53" s="13">
        <v>0.3884525068568826</v>
      </c>
      <c r="J53" s="13">
        <v>0.2636914792136642</v>
      </c>
      <c r="K53" s="13">
        <v>0.20360070630547905</v>
      </c>
      <c r="L53" s="42">
        <v>0.12759200996126174</v>
      </c>
      <c r="M53" s="13"/>
      <c r="N53" s="4">
        <v>1.6023106023109244</v>
      </c>
      <c r="O53" s="13">
        <v>0.36640441406607888</v>
      </c>
      <c r="P53" s="42">
        <v>0.30204743647017773</v>
      </c>
      <c r="Q53" s="13"/>
      <c r="R53" s="4">
        <v>0.11987899318469461</v>
      </c>
      <c r="S53" s="13">
        <v>0.24428813643734476</v>
      </c>
      <c r="T53" s="42">
        <v>0.32409978954629942</v>
      </c>
    </row>
    <row r="54" spans="1:20" x14ac:dyDescent="0.15">
      <c r="A54" s="40" t="s">
        <v>85</v>
      </c>
      <c r="B54">
        <v>7.5</v>
      </c>
      <c r="C54" s="13"/>
      <c r="D54" s="4">
        <v>0.12109621763759701</v>
      </c>
      <c r="E54" s="13"/>
      <c r="F54" s="13">
        <v>1.2628634460918272E-2</v>
      </c>
      <c r="G54" s="13">
        <v>0.37246642594290602</v>
      </c>
      <c r="H54" s="13">
        <v>0.54231525314820872</v>
      </c>
      <c r="I54" s="13">
        <v>0.40050938484666787</v>
      </c>
      <c r="J54" s="13">
        <v>0.26766971243777338</v>
      </c>
      <c r="K54" s="13">
        <v>0.22871068281938328</v>
      </c>
      <c r="L54" s="42">
        <v>0.12742475862068967</v>
      </c>
      <c r="M54" s="13"/>
      <c r="N54" s="4">
        <v>1.5502256751773049</v>
      </c>
      <c r="O54" s="13">
        <v>0.37352466498459391</v>
      </c>
      <c r="P54" s="42">
        <v>0.28869477607659061</v>
      </c>
      <c r="Q54" s="13"/>
      <c r="R54" s="4">
        <v>0.10934314314557261</v>
      </c>
      <c r="S54" s="13">
        <v>0.21789039395859741</v>
      </c>
      <c r="T54" s="42">
        <v>0.33209399043414772</v>
      </c>
    </row>
    <row r="55" spans="1:20" x14ac:dyDescent="0.15">
      <c r="A55" s="40" t="s">
        <v>86</v>
      </c>
      <c r="B55">
        <v>8</v>
      </c>
      <c r="C55" s="13"/>
      <c r="D55" s="4">
        <v>0.10858233236780475</v>
      </c>
      <c r="E55" s="13"/>
      <c r="F55" s="13">
        <v>9.0303276241324379E-3</v>
      </c>
      <c r="G55" s="13">
        <v>0.34916225606469004</v>
      </c>
      <c r="H55" s="13">
        <v>0.52696403093746902</v>
      </c>
      <c r="I55" s="13">
        <v>0.3910871102803738</v>
      </c>
      <c r="J55" s="13">
        <v>0.24753112241887906</v>
      </c>
      <c r="K55" s="13">
        <v>0.21428101799644705</v>
      </c>
      <c r="L55" s="42">
        <v>0.1326201024428684</v>
      </c>
      <c r="M55" s="13"/>
      <c r="N55" s="4">
        <v>1.4955525931731986</v>
      </c>
      <c r="O55" s="13">
        <v>0.35594640291134333</v>
      </c>
      <c r="P55" s="42">
        <v>0.30192376894235529</v>
      </c>
      <c r="Q55" s="13"/>
      <c r="R55" s="4">
        <v>0.10280158850454305</v>
      </c>
      <c r="S55" s="13">
        <v>0.18810708076408994</v>
      </c>
      <c r="T55" s="42">
        <v>0.31058785299659419</v>
      </c>
    </row>
    <row r="56" spans="1:20" x14ac:dyDescent="0.15">
      <c r="A56" s="40" t="s">
        <v>87</v>
      </c>
      <c r="B56">
        <v>8.5</v>
      </c>
      <c r="C56" s="13"/>
      <c r="D56" s="4">
        <v>8.1108149010266417E-2</v>
      </c>
      <c r="E56" s="13"/>
      <c r="F56" s="13">
        <v>5.7058867988260074E-3</v>
      </c>
      <c r="G56" s="13">
        <v>0.34730442307692305</v>
      </c>
      <c r="H56" s="13">
        <v>0.50603834629602684</v>
      </c>
      <c r="I56" s="13">
        <v>0.37826855979969182</v>
      </c>
      <c r="J56" s="13">
        <v>0.26716912916423141</v>
      </c>
      <c r="K56" s="13">
        <v>0.230906972027972</v>
      </c>
      <c r="L56" s="42">
        <v>0.12670513513513512</v>
      </c>
      <c r="M56" s="13"/>
      <c r="N56" s="4">
        <v>1.4235703655743133</v>
      </c>
      <c r="O56" s="13">
        <v>0.35148000651465794</v>
      </c>
      <c r="P56" s="42">
        <v>0.29712815071878795</v>
      </c>
      <c r="Q56" s="13"/>
      <c r="R56" s="4">
        <v>0.10730449993439448</v>
      </c>
      <c r="S56" s="13">
        <v>0.16412115558005808</v>
      </c>
      <c r="T56" s="42">
        <v>0.29512018354595154</v>
      </c>
    </row>
    <row r="57" spans="1:20" x14ac:dyDescent="0.15">
      <c r="A57" s="40" t="s">
        <v>88</v>
      </c>
      <c r="B57">
        <v>9</v>
      </c>
      <c r="C57" s="13"/>
      <c r="D57" s="4">
        <v>6.8689078957425653E-2</v>
      </c>
      <c r="E57" s="13"/>
      <c r="F57" s="13">
        <v>5.3430970839580087E-3</v>
      </c>
      <c r="G57" s="13">
        <v>0.34003410847647497</v>
      </c>
      <c r="H57" s="13">
        <v>0.51544883409170295</v>
      </c>
      <c r="I57" s="13">
        <v>0.37050121387156387</v>
      </c>
      <c r="J57" s="13">
        <v>0.25518789209855564</v>
      </c>
      <c r="K57" s="13">
        <v>0.19878636893203883</v>
      </c>
      <c r="L57" s="42">
        <v>0.13207166666666667</v>
      </c>
      <c r="M57" s="13"/>
      <c r="N57" s="4">
        <v>1.4827724802136184</v>
      </c>
      <c r="O57" s="13">
        <v>0.31136517967817878</v>
      </c>
      <c r="P57" s="42">
        <v>0.29226065727608053</v>
      </c>
      <c r="Q57" s="13"/>
      <c r="R57" s="4">
        <v>8.4595325370833502E-2</v>
      </c>
      <c r="S57" s="13">
        <v>0.14360842374150362</v>
      </c>
      <c r="T57" s="42">
        <v>0.29493206908166797</v>
      </c>
    </row>
    <row r="58" spans="1:20" x14ac:dyDescent="0.15">
      <c r="A58" s="40" t="s">
        <v>89</v>
      </c>
      <c r="B58">
        <v>10</v>
      </c>
      <c r="C58" s="13"/>
      <c r="D58" s="4">
        <v>6.2683981139017436E-2</v>
      </c>
      <c r="E58" s="13"/>
      <c r="F58" s="13">
        <v>3.7376215674939091E-3</v>
      </c>
      <c r="G58" s="13">
        <v>0.32929965691220986</v>
      </c>
      <c r="H58" s="13">
        <v>0.49341802268800361</v>
      </c>
      <c r="I58" s="13">
        <v>0.39243237243796325</v>
      </c>
      <c r="J58" s="13">
        <v>0.24850834591194965</v>
      </c>
      <c r="K58" s="13">
        <v>0.20158487421383647</v>
      </c>
      <c r="L58" s="42">
        <v>0.13494980716253444</v>
      </c>
      <c r="M58" s="13"/>
      <c r="N58" s="4">
        <v>1.4532107297875956</v>
      </c>
      <c r="O58" s="13">
        <v>0.3480478029398989</v>
      </c>
      <c r="P58" s="42">
        <v>0.31089372138574284</v>
      </c>
      <c r="Q58" s="13"/>
      <c r="R58" s="4">
        <v>6.7406012889530575E-2</v>
      </c>
      <c r="S58" s="13">
        <v>0.11869394094959787</v>
      </c>
      <c r="T58" s="42">
        <v>0.29290696166939362</v>
      </c>
    </row>
    <row r="59" spans="1:20" x14ac:dyDescent="0.15">
      <c r="A59" s="40" t="s">
        <v>90</v>
      </c>
      <c r="B59">
        <v>11</v>
      </c>
      <c r="C59" s="13"/>
      <c r="D59" s="4">
        <v>4.8149964716515448E-2</v>
      </c>
      <c r="E59" s="13"/>
      <c r="F59" s="13">
        <v>2.2748668387307103E-3</v>
      </c>
      <c r="G59" s="13">
        <v>0.30526907054850438</v>
      </c>
      <c r="H59" s="13">
        <v>0.49626566374116521</v>
      </c>
      <c r="I59" s="13">
        <v>0.3390927402122641</v>
      </c>
      <c r="J59" s="13">
        <v>0.23855770050125313</v>
      </c>
      <c r="K59" s="13">
        <v>0.21070433707292197</v>
      </c>
      <c r="L59" s="42">
        <v>0.11439425207479252</v>
      </c>
      <c r="M59" s="13"/>
      <c r="N59" s="4">
        <v>1.2763913230915127</v>
      </c>
      <c r="O59" s="13">
        <v>0.32978314159511468</v>
      </c>
      <c r="P59" s="42">
        <v>0.23422943066610169</v>
      </c>
      <c r="Q59" s="13"/>
      <c r="R59" s="4">
        <v>7.2529805462397817E-2</v>
      </c>
      <c r="S59" s="13">
        <v>8.3477591957161645E-2</v>
      </c>
      <c r="T59" s="42">
        <v>0.25390069612474558</v>
      </c>
    </row>
    <row r="60" spans="1:20" x14ac:dyDescent="0.15">
      <c r="A60" s="40" t="s">
        <v>91</v>
      </c>
      <c r="B60">
        <v>12</v>
      </c>
      <c r="C60" s="13"/>
      <c r="D60" s="4">
        <v>5.0572087367274428E-2</v>
      </c>
      <c r="E60" s="13"/>
      <c r="F60" s="13">
        <v>1.5683555389221556E-3</v>
      </c>
      <c r="G60" s="13">
        <v>0.34490744326144318</v>
      </c>
      <c r="H60" s="13">
        <v>0.5115060734118333</v>
      </c>
      <c r="I60" s="13">
        <v>0.38666578688411268</v>
      </c>
      <c r="J60" s="13">
        <v>0.26689955356453232</v>
      </c>
      <c r="K60" s="13">
        <v>0.20939550847457628</v>
      </c>
      <c r="L60" s="42">
        <v>0.13544353337041157</v>
      </c>
      <c r="M60" s="13"/>
      <c r="N60" s="4">
        <v>1.468001617959469</v>
      </c>
      <c r="O60" s="13">
        <v>0.36606956088241421</v>
      </c>
      <c r="P60" s="42">
        <v>0.28121076955576568</v>
      </c>
      <c r="Q60" s="13"/>
      <c r="R60" s="4">
        <v>6.5820500838223647E-2</v>
      </c>
      <c r="S60" s="13">
        <v>7.0748273185828242E-2</v>
      </c>
      <c r="T60" s="42">
        <v>0.27272406591493425</v>
      </c>
    </row>
    <row r="61" spans="1:20" ht="14" x14ac:dyDescent="0.15">
      <c r="A61" s="40" t="s">
        <v>92</v>
      </c>
      <c r="B61">
        <v>13</v>
      </c>
      <c r="C61" s="13"/>
      <c r="D61" s="4">
        <v>3.9536603378700151E-2</v>
      </c>
      <c r="E61" s="13"/>
      <c r="F61" s="23" t="s">
        <v>172</v>
      </c>
      <c r="G61" s="13">
        <v>0.32721919725209536</v>
      </c>
      <c r="H61" s="13">
        <v>0.49361828408636488</v>
      </c>
      <c r="I61" s="13">
        <v>0.40035815212264148</v>
      </c>
      <c r="J61" s="13">
        <v>0.24355970490716183</v>
      </c>
      <c r="K61" s="13">
        <v>0.1987452449201742</v>
      </c>
      <c r="L61" s="42">
        <v>0.13411786772486772</v>
      </c>
      <c r="M61" s="13"/>
      <c r="N61" s="4">
        <v>1.2138778079999999</v>
      </c>
      <c r="O61" s="13">
        <v>0.3279154485677952</v>
      </c>
      <c r="P61" s="42">
        <v>0.28938946052880821</v>
      </c>
      <c r="Q61" s="13"/>
      <c r="R61" s="72" t="s">
        <v>169</v>
      </c>
      <c r="S61" s="13">
        <v>5.6834614101850478E-2</v>
      </c>
      <c r="T61" s="42">
        <v>0.25997764443398508</v>
      </c>
    </row>
    <row r="62" spans="1:20" x14ac:dyDescent="0.15">
      <c r="A62" s="40" t="s">
        <v>93</v>
      </c>
      <c r="B62">
        <v>14</v>
      </c>
      <c r="C62" s="13"/>
      <c r="D62" s="4">
        <v>3.714716464746981E-2</v>
      </c>
      <c r="E62" s="13"/>
      <c r="F62" s="13"/>
      <c r="G62" s="13">
        <v>0.33692281818181818</v>
      </c>
      <c r="H62" s="13">
        <v>0.53126974312752218</v>
      </c>
      <c r="I62" s="13">
        <v>0.38663191006302516</v>
      </c>
      <c r="J62" s="13">
        <v>0.24231792305658384</v>
      </c>
      <c r="K62" s="13">
        <v>0.19831401937046003</v>
      </c>
      <c r="L62" s="42">
        <v>0.13328401360544218</v>
      </c>
      <c r="M62" s="13"/>
      <c r="N62" s="4">
        <v>1.2631208803418805</v>
      </c>
      <c r="O62" s="13">
        <v>0.35681407183369829</v>
      </c>
      <c r="P62" s="42">
        <v>0.29596349579820092</v>
      </c>
      <c r="Q62" s="13"/>
      <c r="R62" s="4"/>
      <c r="S62" s="13">
        <v>4.8060319614965041E-2</v>
      </c>
      <c r="T62" s="42">
        <v>0.25596974832305047</v>
      </c>
    </row>
    <row r="63" spans="1:20" x14ac:dyDescent="0.15">
      <c r="A63" s="40" t="s">
        <v>94</v>
      </c>
      <c r="B63">
        <v>16</v>
      </c>
      <c r="C63" s="13"/>
      <c r="D63" s="4">
        <v>2.7048301623563469E-2</v>
      </c>
      <c r="E63" s="13"/>
      <c r="F63" s="13"/>
      <c r="G63" s="13">
        <v>0.33322539947089946</v>
      </c>
      <c r="H63" s="13">
        <v>0.51942976081203562</v>
      </c>
      <c r="I63" s="13">
        <v>0.39759584154205607</v>
      </c>
      <c r="J63" s="13">
        <v>0.25868499582777038</v>
      </c>
      <c r="K63" s="13">
        <v>0.19347107142857142</v>
      </c>
      <c r="L63" s="42">
        <v>0.12370788578088576</v>
      </c>
      <c r="M63" s="13"/>
      <c r="N63" s="4">
        <v>1.3326258862151124</v>
      </c>
      <c r="O63" s="13">
        <v>0.39401090739390598</v>
      </c>
      <c r="P63" s="42">
        <v>0.31597466822103587</v>
      </c>
      <c r="Q63" s="13"/>
      <c r="R63" s="4"/>
      <c r="S63" s="13">
        <v>2.6453595757086945E-2</v>
      </c>
      <c r="T63" s="42">
        <v>0.23689107768735618</v>
      </c>
    </row>
    <row r="64" spans="1:20" x14ac:dyDescent="0.15">
      <c r="A64" s="40" t="s">
        <v>95</v>
      </c>
      <c r="B64">
        <v>18</v>
      </c>
      <c r="C64" s="13"/>
      <c r="D64" s="4">
        <v>2.4286979000531631E-2</v>
      </c>
      <c r="E64" s="13"/>
      <c r="F64" s="13"/>
      <c r="G64" s="13">
        <v>0.33221080722008423</v>
      </c>
      <c r="H64" s="13">
        <v>0.52376542624495603</v>
      </c>
      <c r="I64" s="13">
        <v>0.38039343296460171</v>
      </c>
      <c r="J64" s="13">
        <v>0.24398482142857142</v>
      </c>
      <c r="K64" s="13">
        <v>0.20916231593406592</v>
      </c>
      <c r="L64" s="42">
        <v>0.11210309235538397</v>
      </c>
      <c r="M64" s="13"/>
      <c r="N64" s="4">
        <v>1.2491707598705504</v>
      </c>
      <c r="O64" s="13">
        <v>0.37116291829203374</v>
      </c>
      <c r="P64" s="42">
        <v>0.2609310407531239</v>
      </c>
      <c r="Q64" s="13"/>
      <c r="R64" s="4"/>
      <c r="S64" s="13">
        <v>1.9575201638007314E-2</v>
      </c>
      <c r="T64" s="42">
        <v>0.22755910310892419</v>
      </c>
    </row>
    <row r="65" spans="1:20" x14ac:dyDescent="0.15">
      <c r="A65" s="40" t="s">
        <v>96</v>
      </c>
      <c r="B65">
        <v>20</v>
      </c>
      <c r="C65" s="13"/>
      <c r="D65" s="4">
        <v>1.5210166596134857E-2</v>
      </c>
      <c r="E65" s="13"/>
      <c r="F65" s="13"/>
      <c r="G65" s="13">
        <v>0.34168855795148245</v>
      </c>
      <c r="H65" s="13">
        <v>0.50298444941744347</v>
      </c>
      <c r="I65" s="13">
        <v>0.39328686855158734</v>
      </c>
      <c r="J65" s="13">
        <v>0.24541134032634027</v>
      </c>
      <c r="K65" s="13">
        <v>0.19941440201465199</v>
      </c>
      <c r="L65" s="42">
        <v>0.11471078623505393</v>
      </c>
      <c r="M65" s="13"/>
      <c r="N65" s="4">
        <v>1.2584580923076922</v>
      </c>
      <c r="O65" s="13">
        <v>0.36131057094982322</v>
      </c>
      <c r="P65" s="42">
        <v>0.27304576130831459</v>
      </c>
      <c r="Q65" s="13"/>
      <c r="R65" s="4"/>
      <c r="S65" s="13">
        <v>1.0323067173637519E-2</v>
      </c>
      <c r="T65" s="42">
        <v>0.21973351549690956</v>
      </c>
    </row>
    <row r="66" spans="1:20" x14ac:dyDescent="0.15">
      <c r="A66" s="40" t="s">
        <v>97</v>
      </c>
      <c r="B66">
        <v>22</v>
      </c>
      <c r="C66" s="13"/>
      <c r="D66" s="19" t="s">
        <v>172</v>
      </c>
      <c r="E66" s="13"/>
      <c r="F66" s="13"/>
      <c r="G66" s="13">
        <v>0.33331930198019799</v>
      </c>
      <c r="H66" s="13">
        <v>0.53111075389208351</v>
      </c>
      <c r="I66" s="13">
        <v>0.3939326863425926</v>
      </c>
      <c r="J66" s="13">
        <v>0.24626710032065963</v>
      </c>
      <c r="K66" s="13">
        <v>0.19264439146693862</v>
      </c>
      <c r="L66" s="42">
        <v>0.12670966145833334</v>
      </c>
      <c r="M66" s="13"/>
      <c r="N66" s="4">
        <v>1.2449385720000001</v>
      </c>
      <c r="O66" s="13">
        <v>0.3674362105606277</v>
      </c>
      <c r="P66" s="42">
        <v>0.30921859301018612</v>
      </c>
      <c r="Q66" s="13"/>
      <c r="R66" s="4"/>
      <c r="S66" s="13">
        <v>8.2453477327277466E-3</v>
      </c>
      <c r="T66" s="42">
        <v>0.21790372247848505</v>
      </c>
    </row>
    <row r="67" spans="1:20" x14ac:dyDescent="0.15">
      <c r="A67" s="40" t="s">
        <v>98</v>
      </c>
      <c r="B67">
        <v>24</v>
      </c>
      <c r="C67" s="13"/>
      <c r="D67" s="4"/>
      <c r="E67" s="13"/>
      <c r="F67" s="13"/>
      <c r="G67" s="13">
        <v>0.31624677513227512</v>
      </c>
      <c r="H67" s="13">
        <v>0.52101714457151727</v>
      </c>
      <c r="I67" s="13">
        <v>0.41090862251066856</v>
      </c>
      <c r="J67" s="13">
        <v>0.27073799999999998</v>
      </c>
      <c r="K67" s="13">
        <v>0.19931199999999999</v>
      </c>
      <c r="L67" s="42">
        <v>0.12527269503546098</v>
      </c>
      <c r="M67" s="13"/>
      <c r="N67" s="4">
        <v>1.2986321187796612</v>
      </c>
      <c r="O67" s="13">
        <v>0.39135011985084145</v>
      </c>
      <c r="P67" s="42">
        <v>0.33995499753455327</v>
      </c>
      <c r="Q67" s="13"/>
      <c r="R67" s="4"/>
      <c r="S67" s="13">
        <v>3.6500954195465389E-3</v>
      </c>
      <c r="T67" s="42">
        <v>0.19801774183489526</v>
      </c>
    </row>
    <row r="68" spans="1:20" x14ac:dyDescent="0.15">
      <c r="A68" s="40" t="s">
        <v>99</v>
      </c>
      <c r="B68">
        <v>28</v>
      </c>
      <c r="C68" s="13"/>
      <c r="D68" s="4"/>
      <c r="E68" s="13"/>
      <c r="F68" s="13"/>
      <c r="G68" s="13">
        <v>0.28904937535014003</v>
      </c>
      <c r="H68" s="13">
        <v>0.48717928120965298</v>
      </c>
      <c r="I68" s="13">
        <v>0.35618659266063801</v>
      </c>
      <c r="J68" s="13">
        <v>0.22970319353836594</v>
      </c>
      <c r="K68" s="13">
        <v>0.17805449058149059</v>
      </c>
      <c r="L68" s="42">
        <v>0.11314863646445603</v>
      </c>
      <c r="M68" s="13"/>
      <c r="N68" s="4">
        <v>1.1214696526390115</v>
      </c>
      <c r="O68" s="13">
        <v>0.30930400644363454</v>
      </c>
      <c r="P68" s="42">
        <v>0.256323600937306</v>
      </c>
      <c r="Q68" s="13"/>
      <c r="R68" s="4"/>
      <c r="S68" s="13">
        <v>1.4505654405534668E-3</v>
      </c>
      <c r="T68" s="42">
        <v>0.16534148191691278</v>
      </c>
    </row>
    <row r="69" spans="1:20" x14ac:dyDescent="0.15">
      <c r="A69" s="40" t="s">
        <v>100</v>
      </c>
      <c r="B69">
        <v>32</v>
      </c>
      <c r="C69" s="13"/>
      <c r="D69" s="4"/>
      <c r="E69" s="13"/>
      <c r="F69" s="13"/>
      <c r="G69" s="13">
        <v>0.26865173485562011</v>
      </c>
      <c r="H69" s="13">
        <v>0.44826558301189051</v>
      </c>
      <c r="I69" s="13">
        <v>0.32793359736681826</v>
      </c>
      <c r="J69" s="13">
        <v>0.21651488998899887</v>
      </c>
      <c r="K69" s="13">
        <v>0.17447737222934601</v>
      </c>
      <c r="L69" s="42">
        <v>0.1029185866593767</v>
      </c>
      <c r="M69" s="13"/>
      <c r="N69" s="4">
        <v>0.87952488176638177</v>
      </c>
      <c r="O69" s="13">
        <v>0.31342748024565381</v>
      </c>
      <c r="P69" s="42">
        <v>0.24811241490297106</v>
      </c>
      <c r="Q69" s="13"/>
      <c r="R69" s="4"/>
      <c r="S69" s="23" t="s">
        <v>172</v>
      </c>
      <c r="T69" s="42">
        <v>0.12684803377650494</v>
      </c>
    </row>
    <row r="70" spans="1:20" x14ac:dyDescent="0.15">
      <c r="A70" s="40" t="s">
        <v>101</v>
      </c>
      <c r="B70">
        <v>36</v>
      </c>
      <c r="C70" s="13"/>
      <c r="D70" s="4"/>
      <c r="E70" s="13"/>
      <c r="F70" s="13"/>
      <c r="G70" s="13">
        <v>0.28941207977207978</v>
      </c>
      <c r="H70" s="13">
        <v>0.51301164984933623</v>
      </c>
      <c r="I70" s="13">
        <v>0.38379744245370367</v>
      </c>
      <c r="J70" s="13">
        <v>0.24660135718645101</v>
      </c>
      <c r="K70" s="13">
        <v>0.18307316032847004</v>
      </c>
      <c r="L70" s="42">
        <v>0.11535633475527614</v>
      </c>
      <c r="M70" s="13"/>
      <c r="N70" s="4">
        <v>0.95117549122807032</v>
      </c>
      <c r="O70" s="13">
        <v>0.34988217594398607</v>
      </c>
      <c r="P70" s="42">
        <v>0.30282852963432999</v>
      </c>
      <c r="Q70" s="13"/>
      <c r="R70" s="4"/>
      <c r="S70" s="13"/>
      <c r="T70" s="42">
        <v>0.14006050009728455</v>
      </c>
    </row>
    <row r="71" spans="1:20" x14ac:dyDescent="0.15">
      <c r="A71" s="40" t="s">
        <v>102</v>
      </c>
      <c r="B71">
        <v>40</v>
      </c>
      <c r="C71" s="13"/>
      <c r="D71" s="4"/>
      <c r="E71" s="13"/>
      <c r="F71" s="13"/>
      <c r="G71" s="13">
        <v>0.26373318589743588</v>
      </c>
      <c r="H71" s="13">
        <v>0.45412141188718369</v>
      </c>
      <c r="I71" s="13">
        <v>0.33837036229577033</v>
      </c>
      <c r="J71" s="13">
        <v>0.22088702702702701</v>
      </c>
      <c r="K71" s="13">
        <v>0.17434779205607476</v>
      </c>
      <c r="L71" s="42">
        <v>0.10119807161789365</v>
      </c>
      <c r="M71" s="13"/>
      <c r="N71" s="4">
        <v>0.76824675272727272</v>
      </c>
      <c r="O71" s="13">
        <v>0.31262840636265143</v>
      </c>
      <c r="P71" s="42">
        <v>0.27187287255925058</v>
      </c>
      <c r="Q71" s="13"/>
      <c r="R71" s="4"/>
      <c r="S71" s="13"/>
      <c r="T71" s="42">
        <v>0.10990458954860095</v>
      </c>
    </row>
    <row r="72" spans="1:20" x14ac:dyDescent="0.15">
      <c r="A72" s="40" t="s">
        <v>103</v>
      </c>
      <c r="B72">
        <v>44</v>
      </c>
      <c r="C72" s="13"/>
      <c r="D72" s="4"/>
      <c r="E72" s="13"/>
      <c r="F72" s="13"/>
      <c r="G72" s="13">
        <v>0.3154948851533223</v>
      </c>
      <c r="H72" s="13">
        <v>0.56536172522453854</v>
      </c>
      <c r="I72" s="13">
        <v>0.39265643275143436</v>
      </c>
      <c r="J72" s="13">
        <v>0.2746399404478474</v>
      </c>
      <c r="K72" s="13">
        <v>0.21704787004672166</v>
      </c>
      <c r="L72" s="42">
        <v>0.12011951747402076</v>
      </c>
      <c r="M72" s="13"/>
      <c r="N72" s="4">
        <v>0.88097885906432749</v>
      </c>
      <c r="O72" s="13">
        <v>0.3741316499312623</v>
      </c>
      <c r="P72" s="42">
        <v>0.28806057624598957</v>
      </c>
      <c r="Q72" s="13"/>
      <c r="R72" s="4"/>
      <c r="S72" s="13"/>
      <c r="T72" s="42">
        <v>0.11656995515257873</v>
      </c>
    </row>
    <row r="73" spans="1:20" x14ac:dyDescent="0.15">
      <c r="A73" s="40" t="s">
        <v>104</v>
      </c>
      <c r="B73">
        <v>51</v>
      </c>
      <c r="C73" s="13"/>
      <c r="D73" s="4"/>
      <c r="E73" s="13"/>
      <c r="F73" s="13"/>
      <c r="G73" s="13">
        <v>0.2614980594890095</v>
      </c>
      <c r="H73" s="13">
        <v>0.48662295688398033</v>
      </c>
      <c r="I73" s="13">
        <v>0.37033593176794383</v>
      </c>
      <c r="J73" s="13">
        <v>0.22959470426065159</v>
      </c>
      <c r="K73" s="13">
        <v>0.17680829768270945</v>
      </c>
      <c r="L73" s="42">
        <v>0.11298982138487887</v>
      </c>
      <c r="M73" s="13"/>
      <c r="N73" s="4">
        <v>0.80352451518969414</v>
      </c>
      <c r="O73" s="13">
        <v>0.34604402498595033</v>
      </c>
      <c r="P73" s="42">
        <v>0.28550848502295822</v>
      </c>
      <c r="Q73" s="13"/>
      <c r="R73" s="4"/>
      <c r="S73" s="13"/>
      <c r="T73" s="42">
        <v>8.8999941611158345E-2</v>
      </c>
    </row>
    <row r="74" spans="1:20" x14ac:dyDescent="0.15">
      <c r="A74" s="40" t="s">
        <v>105</v>
      </c>
      <c r="B74">
        <v>58</v>
      </c>
      <c r="C74" s="13"/>
      <c r="D74" s="4"/>
      <c r="E74" s="13"/>
      <c r="F74" s="13"/>
      <c r="G74" s="13">
        <v>0.28206676502965289</v>
      </c>
      <c r="H74" s="13">
        <v>0.5532725765747889</v>
      </c>
      <c r="I74" s="13">
        <v>0.39525445438548701</v>
      </c>
      <c r="J74" s="13">
        <v>0.26063632934897951</v>
      </c>
      <c r="K74" s="13">
        <v>0.19786678199206978</v>
      </c>
      <c r="L74" s="42">
        <v>0.12530879017381505</v>
      </c>
      <c r="M74" s="13"/>
      <c r="N74" s="4">
        <v>0.80540043284589435</v>
      </c>
      <c r="O74" s="13">
        <v>0.38012280925711361</v>
      </c>
      <c r="P74" s="42">
        <v>0.32258199999899723</v>
      </c>
      <c r="Q74" s="13"/>
      <c r="R74" s="4"/>
      <c r="S74" s="13"/>
      <c r="T74" s="42">
        <v>8.3096437121532168E-2</v>
      </c>
    </row>
    <row r="75" spans="1:20" x14ac:dyDescent="0.15">
      <c r="A75" s="40" t="s">
        <v>106</v>
      </c>
      <c r="B75">
        <v>65</v>
      </c>
      <c r="C75" s="13"/>
      <c r="D75" s="4"/>
      <c r="E75" s="13"/>
      <c r="F75" s="13"/>
      <c r="G75" s="13">
        <v>0.26539760585139549</v>
      </c>
      <c r="H75" s="13">
        <v>0.52943675245380128</v>
      </c>
      <c r="I75" s="13">
        <v>0.3847556389923168</v>
      </c>
      <c r="J75" s="13">
        <v>0.25903601034020796</v>
      </c>
      <c r="K75" s="13">
        <v>0.19253125649013503</v>
      </c>
      <c r="L75" s="42">
        <v>0.11095080412896649</v>
      </c>
      <c r="M75" s="13"/>
      <c r="N75" s="4">
        <v>0.71444235468244766</v>
      </c>
      <c r="O75" s="13">
        <v>0.38886862603377265</v>
      </c>
      <c r="P75" s="42">
        <v>0.30158912984379305</v>
      </c>
      <c r="Q75" s="13"/>
      <c r="R75" s="4"/>
      <c r="S75" s="13"/>
      <c r="T75" s="42">
        <v>6.9031897912332302E-2</v>
      </c>
    </row>
    <row r="76" spans="1:20" x14ac:dyDescent="0.15">
      <c r="A76" s="40" t="s">
        <v>107</v>
      </c>
      <c r="B76">
        <v>72</v>
      </c>
      <c r="C76" s="13"/>
      <c r="D76" s="4"/>
      <c r="E76" s="13"/>
      <c r="F76" s="13"/>
      <c r="G76" s="13">
        <v>0.24220712138048897</v>
      </c>
      <c r="H76" s="13">
        <v>0.52208917186582704</v>
      </c>
      <c r="I76" s="13">
        <v>0.37364348211807902</v>
      </c>
      <c r="J76" s="13">
        <v>0.24298840715138892</v>
      </c>
      <c r="K76" s="13">
        <v>0.18560569106358524</v>
      </c>
      <c r="L76" s="42">
        <v>0.11372430259841149</v>
      </c>
      <c r="M76" s="13"/>
      <c r="N76" s="4">
        <v>0.60151747603260164</v>
      </c>
      <c r="O76" s="13">
        <v>0.35233694113968306</v>
      </c>
      <c r="P76" s="42">
        <v>0.29399766190176252</v>
      </c>
      <c r="Q76" s="13"/>
      <c r="R76" s="4"/>
      <c r="S76" s="13"/>
      <c r="T76" s="42">
        <v>5.2687347485546127E-2</v>
      </c>
    </row>
    <row r="77" spans="1:20" x14ac:dyDescent="0.15">
      <c r="A77" s="40" t="s">
        <v>108</v>
      </c>
      <c r="B77">
        <v>86</v>
      </c>
      <c r="C77" s="13"/>
      <c r="D77" s="4"/>
      <c r="E77" s="13"/>
      <c r="F77" s="13"/>
      <c r="G77" s="13">
        <v>0.24892621730113154</v>
      </c>
      <c r="H77" s="13">
        <v>0.51367524388075037</v>
      </c>
      <c r="I77" s="13">
        <v>0.36747912838180358</v>
      </c>
      <c r="J77" s="13">
        <v>0.22842156970645411</v>
      </c>
      <c r="K77" s="13">
        <v>0.18229227988642396</v>
      </c>
      <c r="L77" s="42">
        <v>0.10479577271383471</v>
      </c>
      <c r="M77" s="13"/>
      <c r="N77" s="4">
        <v>0.52828475046770595</v>
      </c>
      <c r="O77" s="13">
        <v>0.35318698538161203</v>
      </c>
      <c r="P77" s="42">
        <v>0.28007383317031009</v>
      </c>
      <c r="Q77" s="13"/>
      <c r="R77" s="4"/>
      <c r="S77" s="13"/>
      <c r="T77" s="42">
        <v>4.2292456619426204E-2</v>
      </c>
    </row>
    <row r="78" spans="1:20" x14ac:dyDescent="0.15">
      <c r="A78" s="40" t="s">
        <v>109</v>
      </c>
      <c r="B78">
        <v>100</v>
      </c>
      <c r="C78" s="13"/>
      <c r="D78" s="4"/>
      <c r="E78" s="13"/>
      <c r="F78" s="13"/>
      <c r="G78" s="13">
        <v>0.22507485790726653</v>
      </c>
      <c r="H78" s="13">
        <v>0.48469120848573327</v>
      </c>
      <c r="I78" s="13">
        <v>0.36166874772626806</v>
      </c>
      <c r="J78" s="13">
        <v>0.23567194701733341</v>
      </c>
      <c r="K78" s="13">
        <v>0.17977577623966948</v>
      </c>
      <c r="L78" s="42">
        <v>0.10124098429275234</v>
      </c>
      <c r="M78" s="13"/>
      <c r="N78" s="4">
        <v>0.44070799999999999</v>
      </c>
      <c r="O78" s="13">
        <v>0.34536243506949221</v>
      </c>
      <c r="P78" s="42">
        <v>0.26551928364741628</v>
      </c>
      <c r="Q78" s="13"/>
      <c r="R78" s="4"/>
      <c r="S78" s="13"/>
      <c r="T78" s="42">
        <v>3.280087450112748E-2</v>
      </c>
    </row>
    <row r="79" spans="1:20" ht="14" x14ac:dyDescent="0.15">
      <c r="A79" s="40" t="s">
        <v>110</v>
      </c>
      <c r="B79">
        <v>114</v>
      </c>
      <c r="C79" s="13"/>
      <c r="D79" s="4"/>
      <c r="E79" s="13"/>
      <c r="F79" s="13"/>
      <c r="G79" s="13">
        <v>0.22308963447867194</v>
      </c>
      <c r="H79" s="13">
        <v>0.52117748351140369</v>
      </c>
      <c r="I79" s="13">
        <v>0.37457678875021233</v>
      </c>
      <c r="J79" s="13">
        <v>0.24129250058562088</v>
      </c>
      <c r="K79" s="13">
        <v>0.18622415036197326</v>
      </c>
      <c r="L79" s="42">
        <v>0.10715693487689211</v>
      </c>
      <c r="M79" s="13"/>
      <c r="N79" s="72" t="s">
        <v>169</v>
      </c>
      <c r="O79" s="13">
        <v>0.35180028777511491</v>
      </c>
      <c r="P79" s="42">
        <v>0.29536230043168654</v>
      </c>
      <c r="Q79" s="13"/>
      <c r="R79" s="4"/>
      <c r="S79" s="13"/>
      <c r="T79" s="42">
        <v>2.7190155137826008E-2</v>
      </c>
    </row>
    <row r="80" spans="1:20" x14ac:dyDescent="0.15">
      <c r="A80" s="40" t="s">
        <v>111</v>
      </c>
      <c r="B80">
        <v>128</v>
      </c>
      <c r="C80" s="13"/>
      <c r="D80" s="4"/>
      <c r="E80" s="13"/>
      <c r="F80" s="13"/>
      <c r="G80" s="13">
        <v>0.20192270751069075</v>
      </c>
      <c r="H80" s="13">
        <v>0.49550899067754123</v>
      </c>
      <c r="I80" s="13">
        <v>0.37373565408679971</v>
      </c>
      <c r="J80" s="13">
        <v>0.23171590104253958</v>
      </c>
      <c r="K80" s="13">
        <v>0.16891954767889775</v>
      </c>
      <c r="L80" s="42">
        <v>9.802551783975412E-2</v>
      </c>
      <c r="M80" s="13"/>
      <c r="N80" s="4"/>
      <c r="O80" s="13">
        <v>0.33285550647478779</v>
      </c>
      <c r="P80" s="42">
        <v>0.29073927416929729</v>
      </c>
      <c r="Q80" s="13"/>
      <c r="R80" s="4"/>
      <c r="S80" s="13"/>
      <c r="T80" s="42">
        <v>1.9469929340876761E-2</v>
      </c>
    </row>
    <row r="81" spans="1:20" x14ac:dyDescent="0.15">
      <c r="A81" s="40" t="s">
        <v>112</v>
      </c>
      <c r="B81">
        <v>142</v>
      </c>
      <c r="C81" s="13"/>
      <c r="D81" s="4"/>
      <c r="E81" s="13"/>
      <c r="F81" s="13"/>
      <c r="G81" s="13">
        <v>0.1832799733442064</v>
      </c>
      <c r="H81" s="13">
        <v>0.49191157123639045</v>
      </c>
      <c r="I81" s="13">
        <v>0.36265006318703158</v>
      </c>
      <c r="J81" s="13">
        <v>0.24510560436405679</v>
      </c>
      <c r="K81" s="13">
        <v>0.18030098688199647</v>
      </c>
      <c r="L81" s="42">
        <v>9.188627300982917E-2</v>
      </c>
      <c r="M81" s="13"/>
      <c r="N81" s="4"/>
      <c r="O81" s="13">
        <v>0.34702445333496179</v>
      </c>
      <c r="P81" s="42">
        <v>0.27096860619255697</v>
      </c>
      <c r="Q81" s="13"/>
      <c r="R81" s="4"/>
      <c r="S81" s="13"/>
      <c r="T81" s="42">
        <v>1.4086588935243604E-2</v>
      </c>
    </row>
    <row r="82" spans="1:20" x14ac:dyDescent="0.15">
      <c r="A82" s="40" t="s">
        <v>113</v>
      </c>
      <c r="B82">
        <v>170</v>
      </c>
      <c r="C82" s="13"/>
      <c r="D82" s="4"/>
      <c r="E82" s="13"/>
      <c r="F82" s="13"/>
      <c r="G82" s="13">
        <v>0.18170249212591993</v>
      </c>
      <c r="H82" s="13">
        <v>0.56054872489534524</v>
      </c>
      <c r="I82" s="13">
        <v>0.4054053214286264</v>
      </c>
      <c r="J82" s="13">
        <v>0.25176119911843825</v>
      </c>
      <c r="K82" s="13">
        <v>0.18378553174192724</v>
      </c>
      <c r="L82" s="42">
        <v>0.10205575539440831</v>
      </c>
      <c r="M82" s="13"/>
      <c r="N82" s="4"/>
      <c r="O82" s="13">
        <v>0.34684380872276666</v>
      </c>
      <c r="P82" s="42">
        <v>0.30188628093909287</v>
      </c>
      <c r="Q82" s="13"/>
      <c r="R82" s="4"/>
      <c r="S82" s="13"/>
      <c r="T82" s="42">
        <v>8.9845596252688623E-3</v>
      </c>
    </row>
    <row r="83" spans="1:20" x14ac:dyDescent="0.15">
      <c r="A83" s="40" t="s">
        <v>114</v>
      </c>
      <c r="B83">
        <v>198</v>
      </c>
      <c r="C83" s="13"/>
      <c r="D83" s="4"/>
      <c r="E83" s="13"/>
      <c r="F83" s="13"/>
      <c r="G83" s="13">
        <v>0.14227575762309569</v>
      </c>
      <c r="H83" s="13">
        <v>0.53120018939151215</v>
      </c>
      <c r="I83" s="13">
        <v>0.35205083156475619</v>
      </c>
      <c r="J83" s="13">
        <v>0.22766314115904712</v>
      </c>
      <c r="K83" s="13">
        <v>0.17067882476161494</v>
      </c>
      <c r="L83" s="42">
        <v>7.7742619917267552E-2</v>
      </c>
      <c r="M83" s="13"/>
      <c r="N83" s="4"/>
      <c r="O83" s="13">
        <v>0.36214201423242681</v>
      </c>
      <c r="P83" s="42">
        <v>0.27933505337799402</v>
      </c>
      <c r="Q83" s="13"/>
      <c r="R83" s="4"/>
      <c r="S83" s="13"/>
      <c r="T83" s="42">
        <v>6.2330574824968343E-3</v>
      </c>
    </row>
    <row r="84" spans="1:20" x14ac:dyDescent="0.15">
      <c r="A84" s="40" t="s">
        <v>115</v>
      </c>
      <c r="B84">
        <v>226</v>
      </c>
      <c r="C84" s="13"/>
      <c r="D84" s="4"/>
      <c r="E84" s="13"/>
      <c r="F84" s="13"/>
      <c r="G84" s="13">
        <v>0.13066864428641289</v>
      </c>
      <c r="H84" s="13">
        <v>0.5303504162989533</v>
      </c>
      <c r="I84" s="13">
        <v>0.35055299745176732</v>
      </c>
      <c r="J84" s="13">
        <v>0.22126415353366652</v>
      </c>
      <c r="K84" s="13">
        <v>0.16472899437837429</v>
      </c>
      <c r="L84" s="42">
        <v>7.5115490853993327E-2</v>
      </c>
      <c r="M84" s="13"/>
      <c r="N84" s="4"/>
      <c r="O84" s="13">
        <v>0.34809004775564878</v>
      </c>
      <c r="P84" s="42">
        <v>0.24784925529306734</v>
      </c>
      <c r="Q84" s="13"/>
      <c r="R84" s="4"/>
      <c r="S84" s="13"/>
      <c r="T84" s="42">
        <v>3.3078527915107268E-3</v>
      </c>
    </row>
    <row r="85" spans="1:20" x14ac:dyDescent="0.15">
      <c r="A85" s="40" t="s">
        <v>116</v>
      </c>
      <c r="B85">
        <v>254</v>
      </c>
      <c r="C85" s="13"/>
      <c r="D85" s="4"/>
      <c r="E85" s="13"/>
      <c r="F85" s="13"/>
      <c r="G85" s="13">
        <v>0.11542389893304218</v>
      </c>
      <c r="H85" s="13">
        <v>0.47602462326052813</v>
      </c>
      <c r="I85" s="13">
        <v>0.34856620732674054</v>
      </c>
      <c r="J85" s="13">
        <v>0.2133369690890623</v>
      </c>
      <c r="K85" s="13">
        <v>0.14984576814304335</v>
      </c>
      <c r="L85" s="42">
        <v>7.2921630928385162E-2</v>
      </c>
      <c r="M85" s="13"/>
      <c r="N85" s="4"/>
      <c r="O85" s="13">
        <v>0.34901602812483368</v>
      </c>
      <c r="P85" s="42">
        <v>0.27320644286751344</v>
      </c>
      <c r="Q85" s="13"/>
      <c r="R85" s="4"/>
      <c r="S85" s="13"/>
      <c r="T85" s="59" t="s">
        <v>172</v>
      </c>
    </row>
    <row r="86" spans="1:20" x14ac:dyDescent="0.15">
      <c r="A86" s="40" t="s">
        <v>117</v>
      </c>
      <c r="B86">
        <v>282</v>
      </c>
      <c r="C86" s="13"/>
      <c r="D86" s="4"/>
      <c r="E86" s="13"/>
      <c r="F86" s="13"/>
      <c r="G86" s="13">
        <v>0.10926925888596231</v>
      </c>
      <c r="H86" s="13">
        <v>0.49104254191223218</v>
      </c>
      <c r="I86" s="13">
        <v>0.35551219982425997</v>
      </c>
      <c r="J86" s="13">
        <v>0.21481022029694791</v>
      </c>
      <c r="K86" s="13">
        <v>0.14781621696064409</v>
      </c>
      <c r="L86" s="42">
        <v>6.9217373536691496E-2</v>
      </c>
      <c r="M86" s="13"/>
      <c r="N86" s="4"/>
      <c r="O86" s="13">
        <v>0.33862473350734618</v>
      </c>
      <c r="P86" s="42">
        <v>0.25257826373083736</v>
      </c>
      <c r="Q86" s="13"/>
      <c r="R86" s="4"/>
      <c r="S86" s="13"/>
      <c r="T86" s="42"/>
    </row>
    <row r="87" spans="1:20" x14ac:dyDescent="0.15">
      <c r="A87" s="40" t="s">
        <v>118</v>
      </c>
      <c r="B87">
        <v>310</v>
      </c>
      <c r="C87" s="13"/>
      <c r="D87" s="4"/>
      <c r="E87" s="13"/>
      <c r="F87" s="13"/>
      <c r="G87" s="13">
        <v>9.5298193323379146E-2</v>
      </c>
      <c r="H87" s="13">
        <v>0.48528815998864394</v>
      </c>
      <c r="I87" s="13">
        <v>0.33493540067886984</v>
      </c>
      <c r="J87" s="13">
        <v>0.22033926430977877</v>
      </c>
      <c r="K87" s="13">
        <v>0.14702040292056376</v>
      </c>
      <c r="L87" s="42">
        <v>6.4462773405300364E-2</v>
      </c>
      <c r="M87" s="13"/>
      <c r="N87" s="4"/>
      <c r="O87" s="13">
        <v>0.33141732615661057</v>
      </c>
      <c r="P87" s="42">
        <v>0.25648751377069379</v>
      </c>
      <c r="Q87" s="13"/>
      <c r="R87" s="4"/>
      <c r="S87" s="13"/>
      <c r="T87" s="42"/>
    </row>
    <row r="88" spans="1:20" x14ac:dyDescent="0.15">
      <c r="A88" s="40" t="s">
        <v>119</v>
      </c>
      <c r="B88">
        <v>338</v>
      </c>
      <c r="C88" s="13"/>
      <c r="D88" s="4"/>
      <c r="E88" s="13"/>
      <c r="F88" s="13"/>
      <c r="G88" s="13">
        <v>8.0556251037683435E-2</v>
      </c>
      <c r="H88" s="13">
        <v>0.4638736762912205</v>
      </c>
      <c r="I88" s="13">
        <v>0.33821973048635778</v>
      </c>
      <c r="J88" s="13">
        <v>0.19563417245545836</v>
      </c>
      <c r="K88" s="13">
        <v>0.14221318268356931</v>
      </c>
      <c r="L88" s="42">
        <v>6.1728953549903903E-2</v>
      </c>
      <c r="M88" s="13"/>
      <c r="N88" s="4"/>
      <c r="O88" s="13">
        <v>0.33286636444680795</v>
      </c>
      <c r="P88" s="42">
        <v>0.24207153077595295</v>
      </c>
      <c r="Q88" s="13"/>
      <c r="R88" s="4"/>
      <c r="S88" s="13"/>
      <c r="T88" s="42"/>
    </row>
    <row r="89" spans="1:20" x14ac:dyDescent="0.15">
      <c r="A89" s="40" t="s">
        <v>120</v>
      </c>
      <c r="B89">
        <v>366</v>
      </c>
      <c r="C89" s="13"/>
      <c r="D89" s="4"/>
      <c r="E89" s="13"/>
      <c r="F89" s="13"/>
      <c r="G89" s="13">
        <v>6.0221831360091058E-2</v>
      </c>
      <c r="H89" s="13">
        <v>0.44581398400000005</v>
      </c>
      <c r="I89" s="13">
        <v>0.31942877358490562</v>
      </c>
      <c r="J89" s="13">
        <v>0.200297995785925</v>
      </c>
      <c r="K89" s="13">
        <v>0.11885951833607006</v>
      </c>
      <c r="L89" s="42">
        <v>5.0407841880341878E-2</v>
      </c>
      <c r="M89" s="13"/>
      <c r="N89" s="4"/>
      <c r="O89" s="13">
        <v>0.28709479102567159</v>
      </c>
      <c r="P89" s="42">
        <v>0.234282999957939</v>
      </c>
      <c r="Q89" s="13"/>
      <c r="R89" s="4"/>
      <c r="S89" s="13"/>
      <c r="T89" s="42"/>
    </row>
    <row r="90" spans="1:20" x14ac:dyDescent="0.15">
      <c r="A90" s="40" t="s">
        <v>121</v>
      </c>
      <c r="B90">
        <v>394</v>
      </c>
      <c r="C90" s="13"/>
      <c r="D90" s="4"/>
      <c r="E90" s="13"/>
      <c r="F90" s="13"/>
      <c r="G90" s="13">
        <v>4.6000707220052589E-2</v>
      </c>
      <c r="H90" s="13">
        <v>0.44925698372373857</v>
      </c>
      <c r="I90" s="13">
        <v>0.30311982953072336</v>
      </c>
      <c r="J90" s="13">
        <v>0.18776781445138269</v>
      </c>
      <c r="K90" s="13">
        <v>0.10967739439507862</v>
      </c>
      <c r="L90" s="42">
        <v>4.4319470180607848E-2</v>
      </c>
      <c r="M90" s="13"/>
      <c r="N90" s="4"/>
      <c r="O90" s="13">
        <v>0.30293349727090457</v>
      </c>
      <c r="P90" s="42">
        <v>0.23037505999754448</v>
      </c>
      <c r="Q90" s="13"/>
      <c r="R90" s="4"/>
      <c r="S90" s="13"/>
      <c r="T90" s="42"/>
    </row>
    <row r="91" spans="1:20" x14ac:dyDescent="0.15">
      <c r="A91" s="40" t="s">
        <v>122</v>
      </c>
      <c r="B91">
        <v>422</v>
      </c>
      <c r="C91" s="13"/>
      <c r="D91" s="4"/>
      <c r="E91" s="13"/>
      <c r="F91" s="13"/>
      <c r="G91" s="13">
        <v>6.187940595131726E-2</v>
      </c>
      <c r="H91" s="13">
        <v>0.47398266315090087</v>
      </c>
      <c r="I91" s="13">
        <v>0.32693657327586201</v>
      </c>
      <c r="J91" s="13">
        <v>0.19837929419382688</v>
      </c>
      <c r="K91" s="13">
        <v>0.12884679782218228</v>
      </c>
      <c r="L91" s="42">
        <v>5.3140433954831937E-2</v>
      </c>
      <c r="M91" s="13"/>
      <c r="N91" s="4"/>
      <c r="O91" s="13">
        <v>0.29951718719999998</v>
      </c>
      <c r="P91" s="42">
        <v>0.25389405167260992</v>
      </c>
      <c r="Q91" s="13"/>
      <c r="R91" s="4"/>
      <c r="S91" s="13"/>
      <c r="T91" s="42"/>
    </row>
    <row r="92" spans="1:20" ht="14" thickBot="1" x14ac:dyDescent="0.2">
      <c r="A92" s="43" t="s">
        <v>123</v>
      </c>
      <c r="B92" s="44">
        <v>450</v>
      </c>
      <c r="C92" s="45"/>
      <c r="D92" s="48"/>
      <c r="E92" s="45"/>
      <c r="F92" s="45"/>
      <c r="G92" s="45">
        <v>4.9584164273326389E-2</v>
      </c>
      <c r="H92" s="45">
        <v>0.43105854497037671</v>
      </c>
      <c r="I92" s="45">
        <v>0.29901700120192304</v>
      </c>
      <c r="J92" s="45">
        <v>0.18736056358684264</v>
      </c>
      <c r="K92" s="45">
        <v>0.11204940200042562</v>
      </c>
      <c r="L92" s="46">
        <v>4.2199718949893383E-2</v>
      </c>
      <c r="M92" s="45"/>
      <c r="N92" s="48"/>
      <c r="O92" s="45">
        <v>0.2995662280373832</v>
      </c>
      <c r="P92" s="46">
        <v>0.24634330557451062</v>
      </c>
      <c r="Q92" s="45"/>
      <c r="R92" s="48"/>
      <c r="S92" s="45"/>
      <c r="T92" s="46"/>
    </row>
    <row r="93" spans="1:20" x14ac:dyDescent="0.15">
      <c r="B93" s="9"/>
      <c r="C93" s="1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4" x14ac:dyDescent="0.15">
      <c r="B94" s="6"/>
      <c r="C94" s="6"/>
      <c r="E94" s="6"/>
      <c r="F94" s="6"/>
      <c r="G94" s="5"/>
      <c r="H94" s="5"/>
      <c r="I94" s="5"/>
      <c r="J94" s="5"/>
      <c r="K94" s="5"/>
      <c r="L94" s="5"/>
      <c r="M94" s="5"/>
      <c r="N94" s="73" t="s">
        <v>170</v>
      </c>
      <c r="O94" s="5"/>
      <c r="P94" s="5"/>
      <c r="Q94" s="5"/>
      <c r="R94" s="6"/>
      <c r="S94" s="6"/>
      <c r="T94" s="6"/>
    </row>
    <row r="95" spans="1:20" x14ac:dyDescent="0.15">
      <c r="B95" s="6"/>
      <c r="C95" s="6"/>
      <c r="D95" s="6"/>
      <c r="E95" s="6"/>
      <c r="F95" s="6"/>
      <c r="G95" s="5"/>
      <c r="H95" s="5"/>
      <c r="I95" s="5"/>
      <c r="J95" s="5"/>
      <c r="K95" s="5"/>
      <c r="L95" s="5"/>
      <c r="M95" s="5"/>
      <c r="N95" s="6"/>
      <c r="O95" s="5"/>
      <c r="P95" s="5"/>
      <c r="Q95" s="5"/>
      <c r="R95" s="6"/>
      <c r="S95" s="6"/>
      <c r="T95" s="6"/>
    </row>
    <row r="96" spans="1:20" x14ac:dyDescent="0.15">
      <c r="B96" s="6"/>
      <c r="C96" s="6"/>
      <c r="D96" s="6"/>
      <c r="E96" s="6"/>
      <c r="F96" s="6"/>
      <c r="G96" s="5"/>
      <c r="H96" s="5"/>
      <c r="I96" s="5"/>
      <c r="J96" s="5"/>
      <c r="K96" s="5"/>
      <c r="L96" s="5"/>
      <c r="M96" s="5"/>
      <c r="N96" s="6"/>
      <c r="O96" s="5"/>
      <c r="P96" s="5"/>
      <c r="Q96" s="5"/>
      <c r="R96" s="6"/>
      <c r="S96" s="6"/>
      <c r="T96" s="6"/>
    </row>
    <row r="98" spans="1:20" x14ac:dyDescent="0.15">
      <c r="A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100" spans="1:20" x14ac:dyDescent="0.15">
      <c r="T100" s="6"/>
    </row>
    <row r="101" spans="1:20" x14ac:dyDescent="0.15">
      <c r="T101" s="6"/>
    </row>
    <row r="102" spans="1:20" x14ac:dyDescent="0.15">
      <c r="T102" s="6"/>
    </row>
    <row r="103" spans="1:20" x14ac:dyDescent="0.15">
      <c r="T103" s="6"/>
    </row>
    <row r="104" spans="1:20" x14ac:dyDescent="0.15">
      <c r="G104" s="9"/>
      <c r="H104" s="9"/>
      <c r="I104" s="9"/>
      <c r="J104" s="9"/>
      <c r="K104" s="9"/>
      <c r="L104" s="9"/>
      <c r="M104" s="9"/>
      <c r="O104" s="9"/>
      <c r="P104" s="9"/>
      <c r="Q104" s="9"/>
      <c r="T104" s="6"/>
    </row>
    <row r="105" spans="1:20" x14ac:dyDescent="0.15">
      <c r="G105" s="6"/>
      <c r="H105" s="6"/>
      <c r="I105" s="6"/>
      <c r="J105" s="6"/>
      <c r="K105" s="6"/>
      <c r="L105" s="6"/>
      <c r="M105" s="6"/>
      <c r="O105" s="6"/>
      <c r="P105" s="6"/>
      <c r="Q105" s="6"/>
      <c r="T105" s="6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328E-6C45-4786-AD27-29A688C3B0D5}">
  <dimension ref="A1:T39"/>
  <sheetViews>
    <sheetView zoomScale="194" zoomScaleNormal="194" workbookViewId="0">
      <selection activeCell="D9" sqref="D9"/>
    </sheetView>
  </sheetViews>
  <sheetFormatPr baseColWidth="10" defaultColWidth="11.5" defaultRowHeight="15" customHeight="1" x14ac:dyDescent="0.15"/>
  <cols>
    <col min="1" max="12" width="14.1640625" customWidth="1"/>
    <col min="13" max="13" width="4.6640625" customWidth="1"/>
    <col min="14" max="16" width="14.1640625" customWidth="1"/>
    <col min="17" max="17" width="4.6640625" customWidth="1"/>
    <col min="18" max="20" width="14.1640625" customWidth="1"/>
  </cols>
  <sheetData>
    <row r="1" spans="1:20" ht="15" customHeight="1" x14ac:dyDescent="0.15">
      <c r="A1" s="25"/>
      <c r="B1" s="26" t="s">
        <v>135</v>
      </c>
      <c r="C1" s="110" t="s">
        <v>137</v>
      </c>
      <c r="D1" s="10" t="s">
        <v>0</v>
      </c>
      <c r="E1" s="11" t="s">
        <v>124</v>
      </c>
      <c r="F1" s="11" t="s">
        <v>1</v>
      </c>
      <c r="G1" s="11" t="s">
        <v>126</v>
      </c>
      <c r="H1" s="11" t="s">
        <v>127</v>
      </c>
      <c r="I1" s="11" t="s">
        <v>2</v>
      </c>
      <c r="J1" s="11" t="s">
        <v>128</v>
      </c>
      <c r="K1" s="11" t="s">
        <v>129</v>
      </c>
      <c r="L1" s="27" t="s">
        <v>3</v>
      </c>
      <c r="M1" s="11"/>
      <c r="N1" s="10" t="s">
        <v>4</v>
      </c>
      <c r="O1" s="11" t="s">
        <v>5</v>
      </c>
      <c r="P1" s="27" t="s">
        <v>130</v>
      </c>
      <c r="Q1" s="11"/>
      <c r="R1" s="10" t="s">
        <v>6</v>
      </c>
      <c r="S1" s="11" t="s">
        <v>158</v>
      </c>
      <c r="T1" s="27" t="s">
        <v>125</v>
      </c>
    </row>
    <row r="2" spans="1:20" ht="15" customHeight="1" thickBot="1" x14ac:dyDescent="0.2">
      <c r="A2" s="29"/>
      <c r="B2" s="17" t="s">
        <v>136</v>
      </c>
      <c r="C2" s="111"/>
      <c r="D2" s="30"/>
      <c r="E2" s="31"/>
      <c r="F2" s="31" t="s">
        <v>138</v>
      </c>
      <c r="G2" s="31"/>
      <c r="H2" s="31" t="s">
        <v>138</v>
      </c>
      <c r="I2" s="31" t="s">
        <v>138</v>
      </c>
      <c r="J2" s="31" t="s">
        <v>138</v>
      </c>
      <c r="K2" s="31" t="s">
        <v>138</v>
      </c>
      <c r="L2" s="32" t="s">
        <v>138</v>
      </c>
      <c r="M2" s="31"/>
      <c r="N2" s="30" t="s">
        <v>138</v>
      </c>
      <c r="O2" s="31" t="s">
        <v>138</v>
      </c>
      <c r="P2" s="32" t="s">
        <v>138</v>
      </c>
      <c r="Q2" s="31"/>
      <c r="R2" s="30" t="s">
        <v>138</v>
      </c>
      <c r="S2" s="31" t="s">
        <v>138</v>
      </c>
      <c r="T2" s="32" t="s">
        <v>138</v>
      </c>
    </row>
    <row r="3" spans="1:20" ht="15" customHeight="1" x14ac:dyDescent="0.15">
      <c r="A3" s="49" t="s">
        <v>139</v>
      </c>
      <c r="B3" s="14">
        <v>1</v>
      </c>
      <c r="C3" s="14">
        <v>260</v>
      </c>
      <c r="D3" s="20" t="s">
        <v>172</v>
      </c>
      <c r="E3" s="22" t="s">
        <v>172</v>
      </c>
      <c r="F3" s="24">
        <v>1.0174776802501905E-2</v>
      </c>
      <c r="G3" s="97">
        <v>2.6995487439711733E-3</v>
      </c>
      <c r="H3" s="24">
        <v>2.3519804770631325E-3</v>
      </c>
      <c r="I3" s="24">
        <v>5.0342159986804186E-3</v>
      </c>
      <c r="J3" s="24">
        <v>6.8713164461509466E-3</v>
      </c>
      <c r="K3" s="24">
        <v>1.6293223248835191E-2</v>
      </c>
      <c r="L3" s="92">
        <v>6.2100301516439908E-2</v>
      </c>
      <c r="M3" s="24"/>
      <c r="N3" s="93" t="s">
        <v>172</v>
      </c>
      <c r="O3" s="94" t="s">
        <v>172</v>
      </c>
      <c r="P3" s="95" t="s">
        <v>172</v>
      </c>
      <c r="Q3" s="22"/>
      <c r="R3" s="96">
        <v>7.8877859622850932E-2</v>
      </c>
      <c r="S3" s="24">
        <v>0.10051872694815392</v>
      </c>
      <c r="T3" s="92">
        <v>2.3161780104536192E-3</v>
      </c>
    </row>
    <row r="4" spans="1:20" ht="15" customHeight="1" x14ac:dyDescent="0.15">
      <c r="A4" s="49" t="s">
        <v>140</v>
      </c>
      <c r="B4" s="14">
        <v>2</v>
      </c>
      <c r="C4" s="14">
        <v>162</v>
      </c>
      <c r="D4" s="20" t="s">
        <v>172</v>
      </c>
      <c r="E4" s="22" t="s">
        <v>172</v>
      </c>
      <c r="F4" s="24">
        <v>6.1555274674845763E-3</v>
      </c>
      <c r="G4" s="97">
        <v>2.170329891580568E-3</v>
      </c>
      <c r="H4" s="24">
        <v>3.7277000730407549E-3</v>
      </c>
      <c r="I4" s="24">
        <v>8.6418746738566223E-3</v>
      </c>
      <c r="J4" s="24">
        <v>1.3266832555030706E-2</v>
      </c>
      <c r="K4" s="24">
        <v>3.0886580388681022E-2</v>
      </c>
      <c r="L4" s="92">
        <v>0.11600672008045088</v>
      </c>
      <c r="M4" s="24"/>
      <c r="N4" s="93" t="s">
        <v>172</v>
      </c>
      <c r="O4" s="94" t="s">
        <v>172</v>
      </c>
      <c r="P4" s="95" t="s">
        <v>172</v>
      </c>
      <c r="Q4" s="22"/>
      <c r="R4" s="96">
        <v>0.10194327910295102</v>
      </c>
      <c r="S4" s="24">
        <v>9.0197171835914997E-2</v>
      </c>
      <c r="T4" s="92">
        <v>3.5121223641072239E-3</v>
      </c>
    </row>
    <row r="5" spans="1:20" ht="15" customHeight="1" x14ac:dyDescent="0.15">
      <c r="A5" s="49" t="s">
        <v>141</v>
      </c>
      <c r="B5" s="14">
        <v>3</v>
      </c>
      <c r="C5" s="14">
        <v>328</v>
      </c>
      <c r="D5" s="20" t="s">
        <v>172</v>
      </c>
      <c r="E5" s="22" t="s">
        <v>172</v>
      </c>
      <c r="F5" s="22" t="s">
        <v>172</v>
      </c>
      <c r="G5" s="97">
        <v>7.5008588050604855E-4</v>
      </c>
      <c r="H5" s="24">
        <v>1.434439858303068E-3</v>
      </c>
      <c r="I5" s="24">
        <v>5.7202355722558388E-3</v>
      </c>
      <c r="J5" s="24">
        <v>9.0381150078506899E-3</v>
      </c>
      <c r="K5" s="24">
        <v>1.818314436885865E-2</v>
      </c>
      <c r="L5" s="92">
        <v>4.9577407627302651E-2</v>
      </c>
      <c r="M5" s="24"/>
      <c r="N5" s="93" t="s">
        <v>172</v>
      </c>
      <c r="O5" s="94" t="s">
        <v>172</v>
      </c>
      <c r="P5" s="95" t="s">
        <v>172</v>
      </c>
      <c r="Q5" s="22"/>
      <c r="R5" s="96">
        <v>2.4638332019223497E-2</v>
      </c>
      <c r="S5" s="24">
        <v>3.5964915739118211E-2</v>
      </c>
      <c r="T5" s="92">
        <v>3.2135118887579488E-3</v>
      </c>
    </row>
    <row r="6" spans="1:20" ht="15" customHeight="1" x14ac:dyDescent="0.15">
      <c r="A6" s="49" t="s">
        <v>142</v>
      </c>
      <c r="B6" s="14">
        <v>4</v>
      </c>
      <c r="C6" s="14">
        <v>202</v>
      </c>
      <c r="D6" s="20" t="s">
        <v>172</v>
      </c>
      <c r="E6" s="22" t="s">
        <v>172</v>
      </c>
      <c r="F6" s="22" t="s">
        <v>172</v>
      </c>
      <c r="G6" s="97">
        <v>5.5028489814327596E-4</v>
      </c>
      <c r="H6" s="24">
        <v>2.5618895377846596E-3</v>
      </c>
      <c r="I6" s="24">
        <v>6.7031735162433733E-3</v>
      </c>
      <c r="J6" s="24">
        <v>1.3250164136745915E-2</v>
      </c>
      <c r="K6" s="24">
        <v>2.1890222736136999E-2</v>
      </c>
      <c r="L6" s="92">
        <v>4.7032562379144424E-2</v>
      </c>
      <c r="M6" s="24"/>
      <c r="N6" s="93" t="s">
        <v>172</v>
      </c>
      <c r="O6" s="94" t="s">
        <v>172</v>
      </c>
      <c r="P6" s="95" t="s">
        <v>172</v>
      </c>
      <c r="Q6" s="22"/>
      <c r="R6" s="96">
        <v>2.2264440322180584E-2</v>
      </c>
      <c r="S6" s="24">
        <v>4.2683892472107979E-2</v>
      </c>
      <c r="T6" s="92">
        <v>2.274221766500919E-3</v>
      </c>
    </row>
    <row r="7" spans="1:20" ht="15" customHeight="1" x14ac:dyDescent="0.15">
      <c r="A7" s="49" t="s">
        <v>143</v>
      </c>
      <c r="B7" s="14">
        <v>5</v>
      </c>
      <c r="C7" s="14">
        <v>248</v>
      </c>
      <c r="D7" s="20" t="s">
        <v>172</v>
      </c>
      <c r="E7" s="22" t="s">
        <v>172</v>
      </c>
      <c r="F7" s="22" t="s">
        <v>172</v>
      </c>
      <c r="G7" s="97">
        <v>8.8619534883720922E-4</v>
      </c>
      <c r="H7" s="24">
        <v>2.69382744492219E-3</v>
      </c>
      <c r="I7" s="24">
        <v>1.0010719983408103E-2</v>
      </c>
      <c r="J7" s="24">
        <v>9.7273177187511967E-3</v>
      </c>
      <c r="K7" s="24">
        <v>2.19121875908979E-2</v>
      </c>
      <c r="L7" s="92">
        <v>3.4866365199987481E-2</v>
      </c>
      <c r="M7" s="24"/>
      <c r="N7" s="93" t="s">
        <v>172</v>
      </c>
      <c r="O7" s="94" t="s">
        <v>172</v>
      </c>
      <c r="P7" s="95" t="s">
        <v>172</v>
      </c>
      <c r="Q7" s="22"/>
      <c r="R7" s="96">
        <v>1.0937413867436175E-2</v>
      </c>
      <c r="S7" s="24">
        <v>3.9155809873776953E-2</v>
      </c>
      <c r="T7" s="92">
        <v>4.2815230718580609E-3</v>
      </c>
    </row>
    <row r="8" spans="1:20" ht="15" customHeight="1" x14ac:dyDescent="0.15">
      <c r="A8" s="49" t="s">
        <v>144</v>
      </c>
      <c r="B8" s="14">
        <v>6</v>
      </c>
      <c r="C8" s="14">
        <v>90</v>
      </c>
      <c r="D8" s="20" t="s">
        <v>172</v>
      </c>
      <c r="E8" s="22" t="s">
        <v>172</v>
      </c>
      <c r="F8" s="22" t="s">
        <v>172</v>
      </c>
      <c r="G8" s="97">
        <v>3.3273573168547004E-3</v>
      </c>
      <c r="H8" s="24">
        <v>4.6107275922667324E-3</v>
      </c>
      <c r="I8" s="97">
        <v>9.855636527720717E-3</v>
      </c>
      <c r="J8" s="24">
        <v>1.7860307284480806E-2</v>
      </c>
      <c r="K8" s="24">
        <v>3.0656781531667E-2</v>
      </c>
      <c r="L8" s="92">
        <v>6.0611906958192852E-2</v>
      </c>
      <c r="M8" s="24"/>
      <c r="N8" s="93" t="s">
        <v>172</v>
      </c>
      <c r="O8" s="98" t="s">
        <v>172</v>
      </c>
      <c r="P8" s="95" t="s">
        <v>172</v>
      </c>
      <c r="Q8" s="22"/>
      <c r="R8" s="96">
        <v>3.1178594459219597E-2</v>
      </c>
      <c r="S8" s="24">
        <v>4.2916846461288155E-2</v>
      </c>
      <c r="T8" s="92">
        <v>7.1488990449481539E-3</v>
      </c>
    </row>
    <row r="9" spans="1:20" ht="15" customHeight="1" x14ac:dyDescent="0.15">
      <c r="A9" s="49" t="s">
        <v>145</v>
      </c>
      <c r="B9" s="14">
        <v>24</v>
      </c>
      <c r="C9" s="66" t="s">
        <v>165</v>
      </c>
      <c r="D9" s="20" t="s">
        <v>172</v>
      </c>
      <c r="E9" s="22" t="s">
        <v>172</v>
      </c>
      <c r="F9" s="22" t="s">
        <v>172</v>
      </c>
      <c r="G9" s="22" t="s">
        <v>172</v>
      </c>
      <c r="H9" s="24">
        <v>3.6251160749545051E-3</v>
      </c>
      <c r="I9" s="97">
        <v>8.3992382415497887E-3</v>
      </c>
      <c r="J9" s="24">
        <v>1.552730199166294E-2</v>
      </c>
      <c r="K9" s="24">
        <v>2.1429193869544973E-2</v>
      </c>
      <c r="L9" s="92">
        <v>3.829458831599325E-2</v>
      </c>
      <c r="M9" s="24"/>
      <c r="N9" s="93" t="s">
        <v>172</v>
      </c>
      <c r="O9" s="94" t="s">
        <v>172</v>
      </c>
      <c r="P9" s="95" t="s">
        <v>172</v>
      </c>
      <c r="Q9" s="22"/>
      <c r="R9" s="99" t="s">
        <v>172</v>
      </c>
      <c r="S9" s="94" t="s">
        <v>172</v>
      </c>
      <c r="T9" s="100" t="s">
        <v>172</v>
      </c>
    </row>
    <row r="10" spans="1:20" ht="15" customHeight="1" x14ac:dyDescent="0.15">
      <c r="A10" s="49" t="s">
        <v>146</v>
      </c>
      <c r="B10" s="14">
        <v>36</v>
      </c>
      <c r="C10" s="66" t="s">
        <v>165</v>
      </c>
      <c r="D10" s="20" t="s">
        <v>172</v>
      </c>
      <c r="E10" s="22" t="s">
        <v>172</v>
      </c>
      <c r="F10" s="22" t="s">
        <v>172</v>
      </c>
      <c r="G10" s="22" t="s">
        <v>172</v>
      </c>
      <c r="H10" s="24">
        <v>1.2634522772847164E-3</v>
      </c>
      <c r="I10" s="97">
        <v>4.4456334404795886E-3</v>
      </c>
      <c r="J10" s="24">
        <v>7.2817753080253074E-3</v>
      </c>
      <c r="K10" s="24">
        <v>1.2660126132159714E-2</v>
      </c>
      <c r="L10" s="92">
        <v>2.1701478947016472E-2</v>
      </c>
      <c r="M10" s="24"/>
      <c r="N10" s="93" t="s">
        <v>172</v>
      </c>
      <c r="O10" s="94" t="s">
        <v>172</v>
      </c>
      <c r="P10" s="95" t="s">
        <v>172</v>
      </c>
      <c r="Q10" s="22"/>
      <c r="R10" s="99" t="s">
        <v>172</v>
      </c>
      <c r="S10" s="94" t="s">
        <v>172</v>
      </c>
      <c r="T10" s="100" t="s">
        <v>172</v>
      </c>
    </row>
    <row r="11" spans="1:20" ht="15" customHeight="1" x14ac:dyDescent="0.15">
      <c r="A11" s="49" t="s">
        <v>147</v>
      </c>
      <c r="B11" s="14">
        <v>58</v>
      </c>
      <c r="C11" s="66" t="s">
        <v>165</v>
      </c>
      <c r="D11" s="20" t="s">
        <v>172</v>
      </c>
      <c r="E11" s="22" t="s">
        <v>172</v>
      </c>
      <c r="F11" s="22" t="s">
        <v>172</v>
      </c>
      <c r="G11" s="22" t="s">
        <v>172</v>
      </c>
      <c r="H11" s="24">
        <v>2.3076279478818009E-3</v>
      </c>
      <c r="I11" s="97">
        <v>4.5559514425432546E-3</v>
      </c>
      <c r="J11" s="97">
        <v>7.2808246103569629E-3</v>
      </c>
      <c r="K11" s="24">
        <v>8.379960976289548E-3</v>
      </c>
      <c r="L11" s="92">
        <v>1.1204327079272255E-2</v>
      </c>
      <c r="M11" s="24"/>
      <c r="N11" s="93" t="s">
        <v>172</v>
      </c>
      <c r="O11" s="94" t="s">
        <v>172</v>
      </c>
      <c r="P11" s="95" t="s">
        <v>172</v>
      </c>
      <c r="Q11" s="22"/>
      <c r="R11" s="99" t="s">
        <v>172</v>
      </c>
      <c r="S11" s="94" t="s">
        <v>172</v>
      </c>
      <c r="T11" s="100" t="s">
        <v>172</v>
      </c>
    </row>
    <row r="12" spans="1:20" ht="15" customHeight="1" x14ac:dyDescent="0.15">
      <c r="A12" s="49" t="s">
        <v>148</v>
      </c>
      <c r="B12" s="14">
        <v>100</v>
      </c>
      <c r="C12" s="66" t="s">
        <v>165</v>
      </c>
      <c r="D12" s="20" t="s">
        <v>172</v>
      </c>
      <c r="E12" s="22" t="s">
        <v>172</v>
      </c>
      <c r="F12" s="22" t="s">
        <v>172</v>
      </c>
      <c r="G12" s="22" t="s">
        <v>172</v>
      </c>
      <c r="H12" s="24">
        <v>2.3404893403310219E-3</v>
      </c>
      <c r="I12" s="97">
        <v>7.8538476391852973E-3</v>
      </c>
      <c r="J12" s="24">
        <v>1.06608746207945E-2</v>
      </c>
      <c r="K12" s="24">
        <v>1.5052443640553304E-2</v>
      </c>
      <c r="L12" s="92">
        <v>2.2327595733242334E-2</v>
      </c>
      <c r="M12" s="24"/>
      <c r="N12" s="93" t="s">
        <v>172</v>
      </c>
      <c r="O12" s="94" t="s">
        <v>172</v>
      </c>
      <c r="P12" s="95" t="s">
        <v>172</v>
      </c>
      <c r="Q12" s="22"/>
      <c r="R12" s="99" t="s">
        <v>172</v>
      </c>
      <c r="S12" s="94" t="s">
        <v>172</v>
      </c>
      <c r="T12" s="100" t="s">
        <v>172</v>
      </c>
    </row>
    <row r="13" spans="1:20" ht="15" customHeight="1" x14ac:dyDescent="0.15">
      <c r="A13" s="49" t="s">
        <v>149</v>
      </c>
      <c r="B13" s="14">
        <v>226</v>
      </c>
      <c r="C13" s="66" t="s">
        <v>165</v>
      </c>
      <c r="D13" s="20" t="s">
        <v>172</v>
      </c>
      <c r="E13" s="22" t="s">
        <v>172</v>
      </c>
      <c r="F13" s="22" t="s">
        <v>172</v>
      </c>
      <c r="G13" s="22" t="s">
        <v>172</v>
      </c>
      <c r="H13" s="24">
        <v>8.9912329315133864E-4</v>
      </c>
      <c r="I13" s="97">
        <v>3.6083730535425998E-3</v>
      </c>
      <c r="J13" s="24">
        <v>4.430212639587679E-3</v>
      </c>
      <c r="K13" s="24">
        <v>7.2373492788643662E-3</v>
      </c>
      <c r="L13" s="92">
        <v>1.0206872262791225E-2</v>
      </c>
      <c r="M13" s="24"/>
      <c r="N13" s="93" t="s">
        <v>172</v>
      </c>
      <c r="O13" s="94" t="s">
        <v>172</v>
      </c>
      <c r="P13" s="95" t="s">
        <v>172</v>
      </c>
      <c r="Q13" s="22"/>
      <c r="R13" s="99" t="s">
        <v>172</v>
      </c>
      <c r="S13" s="94" t="s">
        <v>172</v>
      </c>
      <c r="T13" s="100" t="s">
        <v>172</v>
      </c>
    </row>
    <row r="14" spans="1:20" ht="15" customHeight="1" x14ac:dyDescent="0.15">
      <c r="A14" s="49" t="s">
        <v>150</v>
      </c>
      <c r="B14" s="14">
        <v>310</v>
      </c>
      <c r="C14" s="66" t="s">
        <v>165</v>
      </c>
      <c r="D14" s="20" t="s">
        <v>172</v>
      </c>
      <c r="E14" s="22" t="s">
        <v>172</v>
      </c>
      <c r="F14" s="22" t="s">
        <v>172</v>
      </c>
      <c r="G14" s="22" t="s">
        <v>172</v>
      </c>
      <c r="H14" s="24">
        <v>3.3298369221153481E-3</v>
      </c>
      <c r="I14" s="97">
        <v>9.2270305768860014E-3</v>
      </c>
      <c r="J14" s="24">
        <v>1.0249833444485493E-2</v>
      </c>
      <c r="K14" s="24">
        <v>1.4322492503996462E-2</v>
      </c>
      <c r="L14" s="92">
        <v>1.9517212424193554E-2</v>
      </c>
      <c r="M14" s="24"/>
      <c r="N14" s="93" t="s">
        <v>172</v>
      </c>
      <c r="O14" s="94" t="s">
        <v>172</v>
      </c>
      <c r="P14" s="95" t="s">
        <v>172</v>
      </c>
      <c r="Q14" s="22"/>
      <c r="R14" s="99" t="s">
        <v>172</v>
      </c>
      <c r="S14" s="94" t="s">
        <v>172</v>
      </c>
      <c r="T14" s="100" t="s">
        <v>172</v>
      </c>
    </row>
    <row r="15" spans="1:20" ht="15" customHeight="1" x14ac:dyDescent="0.15">
      <c r="A15" s="49" t="s">
        <v>151</v>
      </c>
      <c r="B15" s="14">
        <v>421</v>
      </c>
      <c r="C15" s="14">
        <v>58</v>
      </c>
      <c r="D15" s="20" t="s">
        <v>172</v>
      </c>
      <c r="E15" s="22" t="s">
        <v>172</v>
      </c>
      <c r="F15" s="22" t="s">
        <v>172</v>
      </c>
      <c r="G15" s="22" t="s">
        <v>172</v>
      </c>
      <c r="H15" s="24">
        <v>3.0015593729117453E-3</v>
      </c>
      <c r="I15" s="97">
        <v>7.7639834729322848E-3</v>
      </c>
      <c r="J15" s="24">
        <v>8.8729540701895041E-3</v>
      </c>
      <c r="K15" s="24">
        <v>1.1825314055122427E-2</v>
      </c>
      <c r="L15" s="92">
        <v>1.3857842655895212E-2</v>
      </c>
      <c r="M15" s="24"/>
      <c r="N15" s="93" t="s">
        <v>172</v>
      </c>
      <c r="O15" s="94" t="s">
        <v>172</v>
      </c>
      <c r="P15" s="95" t="s">
        <v>172</v>
      </c>
      <c r="Q15" s="22"/>
      <c r="R15" s="99" t="s">
        <v>172</v>
      </c>
      <c r="S15" s="94" t="s">
        <v>172</v>
      </c>
      <c r="T15" s="100" t="s">
        <v>172</v>
      </c>
    </row>
    <row r="16" spans="1:20" ht="15" customHeight="1" x14ac:dyDescent="0.15">
      <c r="A16" s="49" t="s">
        <v>152</v>
      </c>
      <c r="B16" s="14">
        <v>421</v>
      </c>
      <c r="C16" s="14">
        <v>124</v>
      </c>
      <c r="D16" s="20" t="s">
        <v>172</v>
      </c>
      <c r="E16" s="22" t="s">
        <v>172</v>
      </c>
      <c r="F16" s="22" t="s">
        <v>172</v>
      </c>
      <c r="G16" s="22" t="s">
        <v>172</v>
      </c>
      <c r="H16" s="24">
        <v>3.4017150490567656E-3</v>
      </c>
      <c r="I16" s="97">
        <v>7.2111984590781204E-3</v>
      </c>
      <c r="J16" s="24">
        <v>9.5462984483327823E-3</v>
      </c>
      <c r="K16" s="24">
        <v>1.1807417162032596E-2</v>
      </c>
      <c r="L16" s="92">
        <v>1.4042414102564101E-2</v>
      </c>
      <c r="M16" s="24"/>
      <c r="N16" s="93" t="s">
        <v>172</v>
      </c>
      <c r="O16" s="94" t="s">
        <v>172</v>
      </c>
      <c r="P16" s="95" t="s">
        <v>172</v>
      </c>
      <c r="Q16" s="22"/>
      <c r="R16" s="99" t="s">
        <v>172</v>
      </c>
      <c r="S16" s="94" t="s">
        <v>172</v>
      </c>
      <c r="T16" s="100" t="s">
        <v>172</v>
      </c>
    </row>
    <row r="17" spans="1:20" ht="15" customHeight="1" x14ac:dyDescent="0.15">
      <c r="A17" s="49" t="s">
        <v>153</v>
      </c>
      <c r="B17" s="14">
        <v>422</v>
      </c>
      <c r="C17" s="14">
        <v>225</v>
      </c>
      <c r="D17" s="20" t="s">
        <v>172</v>
      </c>
      <c r="E17" s="22" t="s">
        <v>172</v>
      </c>
      <c r="F17" s="22" t="s">
        <v>172</v>
      </c>
      <c r="G17" s="22" t="s">
        <v>172</v>
      </c>
      <c r="H17" s="24">
        <v>5.4260420459160052E-4</v>
      </c>
      <c r="I17" s="97">
        <v>4.5938633504107543E-3</v>
      </c>
      <c r="J17" s="24">
        <v>7.6837586250778616E-3</v>
      </c>
      <c r="K17" s="24">
        <v>8.7593262253910058E-3</v>
      </c>
      <c r="L17" s="92">
        <v>9.9414615319754398E-3</v>
      </c>
      <c r="M17" s="24"/>
      <c r="N17" s="93" t="s">
        <v>172</v>
      </c>
      <c r="O17" s="94" t="s">
        <v>172</v>
      </c>
      <c r="P17" s="95" t="s">
        <v>172</v>
      </c>
      <c r="Q17" s="22"/>
      <c r="R17" s="99" t="s">
        <v>172</v>
      </c>
      <c r="S17" s="94" t="s">
        <v>172</v>
      </c>
      <c r="T17" s="100" t="s">
        <v>172</v>
      </c>
    </row>
    <row r="18" spans="1:20" ht="15" customHeight="1" x14ac:dyDescent="0.15">
      <c r="A18" s="49" t="s">
        <v>154</v>
      </c>
      <c r="B18" s="14">
        <v>423</v>
      </c>
      <c r="C18" s="14">
        <v>263</v>
      </c>
      <c r="D18" s="20" t="s">
        <v>172</v>
      </c>
      <c r="E18" s="22" t="s">
        <v>172</v>
      </c>
      <c r="F18" s="22" t="s">
        <v>172</v>
      </c>
      <c r="G18" s="22" t="s">
        <v>172</v>
      </c>
      <c r="H18" s="24">
        <v>8.6282776662311095E-4</v>
      </c>
      <c r="I18" s="24">
        <v>4.1649152003550424E-3</v>
      </c>
      <c r="J18" s="24">
        <v>5.2939439690935647E-3</v>
      </c>
      <c r="K18" s="24">
        <v>7.158365616123312E-3</v>
      </c>
      <c r="L18" s="92">
        <v>7.6776031152938906E-3</v>
      </c>
      <c r="M18" s="24"/>
      <c r="N18" s="93" t="s">
        <v>172</v>
      </c>
      <c r="O18" s="94" t="s">
        <v>172</v>
      </c>
      <c r="P18" s="95" t="s">
        <v>172</v>
      </c>
      <c r="Q18" s="22"/>
      <c r="R18" s="99" t="s">
        <v>172</v>
      </c>
      <c r="S18" s="94" t="s">
        <v>172</v>
      </c>
      <c r="T18" s="100" t="s">
        <v>172</v>
      </c>
    </row>
    <row r="19" spans="1:20" ht="15" customHeight="1" x14ac:dyDescent="0.15">
      <c r="A19" s="49" t="s">
        <v>155</v>
      </c>
      <c r="B19" s="14">
        <v>424</v>
      </c>
      <c r="C19" s="14">
        <v>165</v>
      </c>
      <c r="D19" s="20" t="s">
        <v>172</v>
      </c>
      <c r="E19" s="22" t="s">
        <v>172</v>
      </c>
      <c r="F19" s="22" t="s">
        <v>172</v>
      </c>
      <c r="G19" s="22" t="s">
        <v>172</v>
      </c>
      <c r="H19" s="24">
        <v>8.5485456015032798E-4</v>
      </c>
      <c r="I19" s="24">
        <v>4.7782933779158968E-3</v>
      </c>
      <c r="J19" s="24">
        <v>6.6397218144141987E-3</v>
      </c>
      <c r="K19" s="24">
        <v>8.055839333080711E-3</v>
      </c>
      <c r="L19" s="92">
        <v>9.9698873513368227E-3</v>
      </c>
      <c r="M19" s="24"/>
      <c r="N19" s="93" t="s">
        <v>172</v>
      </c>
      <c r="O19" s="94" t="s">
        <v>172</v>
      </c>
      <c r="P19" s="95" t="s">
        <v>172</v>
      </c>
      <c r="Q19" s="22"/>
      <c r="R19" s="99" t="s">
        <v>172</v>
      </c>
      <c r="S19" s="94" t="s">
        <v>172</v>
      </c>
      <c r="T19" s="100" t="s">
        <v>172</v>
      </c>
    </row>
    <row r="20" spans="1:20" ht="15" customHeight="1" x14ac:dyDescent="0.15">
      <c r="A20" s="49" t="s">
        <v>156</v>
      </c>
      <c r="B20" s="14">
        <v>425</v>
      </c>
      <c r="C20" s="14">
        <v>142</v>
      </c>
      <c r="D20" s="20" t="s">
        <v>172</v>
      </c>
      <c r="E20" s="22" t="s">
        <v>172</v>
      </c>
      <c r="F20" s="22" t="s">
        <v>172</v>
      </c>
      <c r="G20" s="22" t="s">
        <v>172</v>
      </c>
      <c r="H20" s="24">
        <v>2.4297179792081808E-3</v>
      </c>
      <c r="I20" s="24">
        <v>5.0606449336606735E-3</v>
      </c>
      <c r="J20" s="24">
        <v>7.1451182297206269E-3</v>
      </c>
      <c r="K20" s="24">
        <v>9.5420752936415422E-3</v>
      </c>
      <c r="L20" s="92">
        <v>1.2319524905737914E-2</v>
      </c>
      <c r="M20" s="24"/>
      <c r="N20" s="93" t="s">
        <v>172</v>
      </c>
      <c r="O20" s="94" t="s">
        <v>172</v>
      </c>
      <c r="P20" s="95" t="s">
        <v>172</v>
      </c>
      <c r="Q20" s="22"/>
      <c r="R20" s="99" t="s">
        <v>172</v>
      </c>
      <c r="S20" s="94" t="s">
        <v>172</v>
      </c>
      <c r="T20" s="100" t="s">
        <v>172</v>
      </c>
    </row>
    <row r="21" spans="1:20" ht="15" customHeight="1" thickBot="1" x14ac:dyDescent="0.2">
      <c r="A21" s="36" t="s">
        <v>157</v>
      </c>
      <c r="B21" s="18">
        <v>426</v>
      </c>
      <c r="C21" s="18">
        <v>226</v>
      </c>
      <c r="D21" s="21" t="s">
        <v>172</v>
      </c>
      <c r="E21" s="28" t="s">
        <v>172</v>
      </c>
      <c r="F21" s="87" t="s">
        <v>172</v>
      </c>
      <c r="G21" s="28" t="s">
        <v>172</v>
      </c>
      <c r="H21" s="101">
        <v>5.9837924719720716E-4</v>
      </c>
      <c r="I21" s="101">
        <v>5.0682791600138001E-3</v>
      </c>
      <c r="J21" s="101">
        <v>8.2061341189674508E-3</v>
      </c>
      <c r="K21" s="101">
        <v>9.6984257901132666E-3</v>
      </c>
      <c r="L21" s="102">
        <v>1.3027441390893593E-2</v>
      </c>
      <c r="M21" s="101"/>
      <c r="N21" s="103" t="s">
        <v>172</v>
      </c>
      <c r="O21" s="104" t="s">
        <v>172</v>
      </c>
      <c r="P21" s="105" t="s">
        <v>172</v>
      </c>
      <c r="Q21" s="28"/>
      <c r="R21" s="106" t="s">
        <v>172</v>
      </c>
      <c r="S21" s="104" t="s">
        <v>172</v>
      </c>
      <c r="T21" s="107" t="s">
        <v>172</v>
      </c>
    </row>
    <row r="23" spans="1:20" ht="138" customHeight="1" x14ac:dyDescent="0.15">
      <c r="C23" s="7" t="s">
        <v>171</v>
      </c>
      <c r="F23" s="15"/>
      <c r="G23" s="7"/>
      <c r="N23" s="7"/>
      <c r="O23" s="15"/>
      <c r="R23" s="7"/>
      <c r="T23" s="8"/>
    </row>
    <row r="24" spans="1:20" ht="15" customHeight="1" x14ac:dyDescent="0.15">
      <c r="D24" s="90"/>
      <c r="E24" s="89"/>
      <c r="I24" s="9"/>
      <c r="K24" s="9"/>
      <c r="P24" s="91"/>
      <c r="R24" s="89"/>
    </row>
    <row r="25" spans="1:20" ht="15" customHeight="1" x14ac:dyDescent="0.15">
      <c r="D25" s="90"/>
      <c r="E25" s="89"/>
      <c r="K25" s="89"/>
      <c r="P25" s="91"/>
      <c r="R25" s="89"/>
    </row>
    <row r="26" spans="1:20" ht="15" customHeight="1" x14ac:dyDescent="0.15">
      <c r="D26" s="90"/>
      <c r="E26" s="89"/>
      <c r="K26" s="89"/>
      <c r="P26" s="91"/>
      <c r="R26" s="89"/>
    </row>
    <row r="27" spans="1:20" ht="15" customHeight="1" x14ac:dyDescent="0.15">
      <c r="D27" s="90"/>
      <c r="E27" s="89"/>
      <c r="K27" s="89"/>
      <c r="P27" s="91"/>
      <c r="R27" s="89"/>
    </row>
    <row r="28" spans="1:20" ht="15" customHeight="1" x14ac:dyDescent="0.15">
      <c r="D28" s="90"/>
      <c r="E28" s="89"/>
      <c r="K28" s="89"/>
      <c r="P28" s="91"/>
      <c r="R28" s="89"/>
    </row>
    <row r="29" spans="1:20" ht="15" customHeight="1" x14ac:dyDescent="0.15">
      <c r="D29" s="90"/>
      <c r="E29" s="89"/>
      <c r="K29" s="89"/>
      <c r="L29" s="88"/>
      <c r="P29" s="91"/>
      <c r="R29" s="89"/>
    </row>
    <row r="30" spans="1:20" ht="15" customHeight="1" x14ac:dyDescent="0.15">
      <c r="D30" s="90"/>
      <c r="E30" s="89"/>
      <c r="K30" s="89"/>
      <c r="L30" s="88"/>
      <c r="P30" s="91"/>
      <c r="R30" s="89"/>
    </row>
    <row r="31" spans="1:20" ht="15" customHeight="1" x14ac:dyDescent="0.15">
      <c r="D31" s="90"/>
      <c r="E31" s="89"/>
      <c r="K31" s="89"/>
      <c r="L31" s="88"/>
      <c r="P31" s="91"/>
      <c r="R31" s="89"/>
    </row>
    <row r="32" spans="1:20" ht="15" customHeight="1" x14ac:dyDescent="0.15">
      <c r="D32" s="90"/>
      <c r="E32" s="89"/>
      <c r="K32" s="89"/>
      <c r="L32" s="88"/>
      <c r="P32" s="91"/>
      <c r="R32" s="89"/>
    </row>
    <row r="33" spans="4:18" ht="15" customHeight="1" x14ac:dyDescent="0.15">
      <c r="D33" s="90"/>
      <c r="E33" s="89"/>
      <c r="K33" s="89"/>
      <c r="L33" s="88"/>
      <c r="P33" s="91"/>
      <c r="R33" s="89"/>
    </row>
    <row r="34" spans="4:18" ht="15" customHeight="1" x14ac:dyDescent="0.15">
      <c r="D34" s="90"/>
      <c r="E34" s="89"/>
      <c r="K34" s="89"/>
      <c r="P34" s="91"/>
      <c r="R34" s="89"/>
    </row>
    <row r="35" spans="4:18" ht="15" customHeight="1" x14ac:dyDescent="0.15">
      <c r="D35" s="90"/>
      <c r="E35" s="89"/>
      <c r="K35" s="89"/>
      <c r="P35" s="91"/>
      <c r="R35" s="89"/>
    </row>
    <row r="36" spans="4:18" ht="15" customHeight="1" x14ac:dyDescent="0.15">
      <c r="D36" s="90"/>
      <c r="E36" s="89"/>
      <c r="K36" s="89"/>
      <c r="P36" s="91"/>
      <c r="R36" s="89"/>
    </row>
    <row r="37" spans="4:18" ht="15" customHeight="1" x14ac:dyDescent="0.15">
      <c r="D37" s="90"/>
      <c r="E37" s="89"/>
      <c r="K37" s="89"/>
      <c r="P37" s="91"/>
      <c r="R37" s="89"/>
    </row>
    <row r="38" spans="4:18" ht="15" customHeight="1" x14ac:dyDescent="0.15">
      <c r="D38" s="90"/>
      <c r="E38" s="89"/>
      <c r="K38" s="89"/>
      <c r="P38" s="91"/>
      <c r="R38" s="89"/>
    </row>
    <row r="39" spans="4:18" ht="15" customHeight="1" x14ac:dyDescent="0.15">
      <c r="K39" s="89"/>
    </row>
  </sheetData>
  <mergeCells count="1">
    <mergeCell ref="C1:C2"/>
  </mergeCells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2D75-057A-4DA1-920B-10AB6FDBD52B}">
  <dimension ref="A1:AJ48"/>
  <sheetViews>
    <sheetView zoomScale="110" zoomScaleNormal="110" workbookViewId="0">
      <selection activeCell="Q35" sqref="Q35"/>
    </sheetView>
  </sheetViews>
  <sheetFormatPr baseColWidth="10" defaultColWidth="11.5" defaultRowHeight="15" customHeight="1" x14ac:dyDescent="0.15"/>
  <cols>
    <col min="1" max="1" width="11.5" style="3"/>
    <col min="2" max="2" width="13.33203125" style="3" customWidth="1"/>
    <col min="3" max="3" width="13.5" style="3" customWidth="1"/>
    <col min="4" max="4" width="14.83203125" style="3" customWidth="1"/>
    <col min="5" max="5" width="19.33203125" style="3" customWidth="1"/>
    <col min="6" max="6" width="16.5" style="3" customWidth="1"/>
    <col min="7" max="8" width="18.6640625" style="3" customWidth="1"/>
    <col min="9" max="10" width="20.33203125" style="3" customWidth="1"/>
    <col min="11" max="12" width="20.83203125" style="3" customWidth="1"/>
    <col min="13" max="14" width="19.33203125" style="3" customWidth="1"/>
    <col min="15" max="16" width="18.5" style="3" customWidth="1"/>
    <col min="17" max="18" width="19.5" style="3" customWidth="1"/>
    <col min="19" max="20" width="20.33203125" style="3" customWidth="1"/>
    <col min="21" max="22" width="19.33203125" style="3" customWidth="1"/>
    <col min="23" max="23" width="7.1640625" style="3" customWidth="1"/>
    <col min="24" max="25" width="20.33203125" style="3" customWidth="1"/>
    <col min="26" max="27" width="22.1640625" style="3" customWidth="1"/>
    <col min="28" max="29" width="19.33203125" style="3" customWidth="1"/>
    <col min="30" max="30" width="5.5" style="3" customWidth="1"/>
    <col min="31" max="32" width="18.83203125" style="3" customWidth="1"/>
    <col min="33" max="34" width="18.5" style="3" customWidth="1"/>
    <col min="35" max="36" width="19.6640625" style="3" customWidth="1"/>
    <col min="37" max="16384" width="11.5" style="3"/>
  </cols>
  <sheetData>
    <row r="1" spans="1:36" s="68" customFormat="1" ht="20" customHeight="1" x14ac:dyDescent="0.25">
      <c r="A1" s="57"/>
      <c r="B1" s="121" t="s">
        <v>159</v>
      </c>
      <c r="C1" s="121" t="s">
        <v>160</v>
      </c>
      <c r="D1" s="121" t="s">
        <v>161</v>
      </c>
      <c r="E1" s="120" t="s">
        <v>0</v>
      </c>
      <c r="F1" s="117"/>
      <c r="G1" s="116" t="s">
        <v>124</v>
      </c>
      <c r="H1" s="117"/>
      <c r="I1" s="116" t="s">
        <v>1</v>
      </c>
      <c r="J1" s="117"/>
      <c r="K1" s="116" t="s">
        <v>126</v>
      </c>
      <c r="L1" s="117"/>
      <c r="M1" s="116" t="s">
        <v>168</v>
      </c>
      <c r="N1" s="117"/>
      <c r="O1" s="116" t="s">
        <v>167</v>
      </c>
      <c r="P1" s="117"/>
      <c r="Q1" s="116" t="s">
        <v>128</v>
      </c>
      <c r="R1" s="117"/>
      <c r="S1" s="116" t="s">
        <v>129</v>
      </c>
      <c r="T1" s="117"/>
      <c r="U1" s="118" t="s">
        <v>3</v>
      </c>
      <c r="V1" s="119"/>
      <c r="W1" s="67"/>
      <c r="X1" s="120" t="s">
        <v>4</v>
      </c>
      <c r="Y1" s="117"/>
      <c r="Z1" s="116" t="s">
        <v>5</v>
      </c>
      <c r="AA1" s="117"/>
      <c r="AB1" s="118" t="s">
        <v>130</v>
      </c>
      <c r="AC1" s="119"/>
      <c r="AD1" s="67"/>
      <c r="AE1" s="120" t="s">
        <v>6</v>
      </c>
      <c r="AF1" s="117"/>
      <c r="AG1" s="116" t="s">
        <v>158</v>
      </c>
      <c r="AH1" s="117"/>
      <c r="AI1" s="118" t="s">
        <v>125</v>
      </c>
      <c r="AJ1" s="119"/>
    </row>
    <row r="2" spans="1:36" s="68" customFormat="1" ht="15" customHeight="1" thickBot="1" x14ac:dyDescent="0.2">
      <c r="A2" s="62"/>
      <c r="B2" s="122"/>
      <c r="C2" s="122"/>
      <c r="D2" s="122"/>
      <c r="E2" s="63" t="s">
        <v>162</v>
      </c>
      <c r="F2" s="74" t="s">
        <v>163</v>
      </c>
      <c r="G2" s="78" t="s">
        <v>162</v>
      </c>
      <c r="H2" s="74" t="s">
        <v>163</v>
      </c>
      <c r="I2" s="78" t="s">
        <v>162</v>
      </c>
      <c r="J2" s="74" t="s">
        <v>163</v>
      </c>
      <c r="K2" s="78" t="s">
        <v>162</v>
      </c>
      <c r="L2" s="74" t="s">
        <v>163</v>
      </c>
      <c r="M2" s="78" t="s">
        <v>162</v>
      </c>
      <c r="N2" s="74" t="s">
        <v>163</v>
      </c>
      <c r="O2" s="78" t="s">
        <v>162</v>
      </c>
      <c r="P2" s="74" t="s">
        <v>163</v>
      </c>
      <c r="Q2" s="78" t="s">
        <v>162</v>
      </c>
      <c r="R2" s="74" t="s">
        <v>163</v>
      </c>
      <c r="S2" s="78" t="s">
        <v>162</v>
      </c>
      <c r="T2" s="74" t="s">
        <v>163</v>
      </c>
      <c r="U2" s="64" t="s">
        <v>162</v>
      </c>
      <c r="V2" s="65" t="s">
        <v>163</v>
      </c>
      <c r="W2" s="64"/>
      <c r="X2" s="63" t="s">
        <v>162</v>
      </c>
      <c r="Y2" s="74" t="s">
        <v>163</v>
      </c>
      <c r="Z2" s="78" t="s">
        <v>162</v>
      </c>
      <c r="AA2" s="74" t="s">
        <v>163</v>
      </c>
      <c r="AB2" s="64" t="s">
        <v>162</v>
      </c>
      <c r="AC2" s="65" t="s">
        <v>163</v>
      </c>
      <c r="AD2" s="64"/>
      <c r="AE2" s="63" t="s">
        <v>162</v>
      </c>
      <c r="AF2" s="74" t="s">
        <v>163</v>
      </c>
      <c r="AG2" s="78" t="s">
        <v>162</v>
      </c>
      <c r="AH2" s="74" t="s">
        <v>163</v>
      </c>
      <c r="AI2" s="64" t="s">
        <v>162</v>
      </c>
      <c r="AJ2" s="65" t="s">
        <v>163</v>
      </c>
    </row>
    <row r="3" spans="1:36" ht="15" customHeight="1" x14ac:dyDescent="0.15">
      <c r="A3" s="52" t="s">
        <v>33</v>
      </c>
      <c r="B3" s="22">
        <v>6</v>
      </c>
      <c r="C3" s="22">
        <v>6</v>
      </c>
      <c r="D3" s="13">
        <v>0.215</v>
      </c>
      <c r="E3" s="4">
        <v>0.39742525908826132</v>
      </c>
      <c r="F3" s="75">
        <f>E3*D3/C3</f>
        <v>1.4241071783996031E-2</v>
      </c>
      <c r="G3" s="79">
        <v>3.4787973770123695</v>
      </c>
      <c r="H3" s="75">
        <f t="shared" ref="H3:H16" si="0">G3*D3/C3</f>
        <v>0.12465690600960989</v>
      </c>
      <c r="I3" s="82">
        <v>1.4248776766436704</v>
      </c>
      <c r="J3" s="83">
        <v>5.1058116746398187E-2</v>
      </c>
      <c r="K3" s="82">
        <v>1.3875294683589097E-2</v>
      </c>
      <c r="L3" s="83">
        <v>4.9719805949527591E-4</v>
      </c>
      <c r="M3" s="82">
        <v>7.3163306207232881E-4</v>
      </c>
      <c r="N3" s="108">
        <v>2.6216851390925118E-5</v>
      </c>
      <c r="O3" s="82">
        <v>7.063764644860206E-4</v>
      </c>
      <c r="P3" s="83">
        <v>2.531182331074907E-5</v>
      </c>
      <c r="Q3" s="80" t="s">
        <v>172</v>
      </c>
      <c r="R3" s="76" t="s">
        <v>172</v>
      </c>
      <c r="S3" s="80" t="s">
        <v>172</v>
      </c>
      <c r="T3" s="76" t="s">
        <v>172</v>
      </c>
      <c r="U3" s="23" t="s">
        <v>172</v>
      </c>
      <c r="V3" s="59" t="s">
        <v>172</v>
      </c>
      <c r="W3" s="23"/>
      <c r="X3" s="4">
        <v>0.14656447005373108</v>
      </c>
      <c r="Y3" s="75">
        <v>5.2518935102586969E-3</v>
      </c>
      <c r="Z3" s="80" t="s">
        <v>172</v>
      </c>
      <c r="AA3" s="76" t="s">
        <v>172</v>
      </c>
      <c r="AB3" s="23" t="s">
        <v>172</v>
      </c>
      <c r="AC3" s="59" t="s">
        <v>172</v>
      </c>
      <c r="AD3" s="23"/>
      <c r="AE3" s="4">
        <v>0.36566877401122055</v>
      </c>
      <c r="AF3" s="83">
        <v>1.3103131068735403E-2</v>
      </c>
      <c r="AG3" s="79">
        <v>2.5762734538215635</v>
      </c>
      <c r="AH3" s="75">
        <v>9.2316465428606012E-2</v>
      </c>
      <c r="AI3" s="13">
        <v>0.12361750051602735</v>
      </c>
      <c r="AJ3" s="42">
        <v>4.4296271018243131E-3</v>
      </c>
    </row>
    <row r="4" spans="1:36" ht="15" customHeight="1" x14ac:dyDescent="0.15">
      <c r="A4" s="52" t="s">
        <v>7</v>
      </c>
      <c r="B4" s="22">
        <v>12</v>
      </c>
      <c r="C4" s="22">
        <v>6</v>
      </c>
      <c r="D4" s="13">
        <v>0.28000000000000003</v>
      </c>
      <c r="E4" s="4">
        <v>0.44077578970672088</v>
      </c>
      <c r="F4" s="75">
        <f t="shared" ref="F4:F23" si="1">E4*D4/C4</f>
        <v>2.0569536852980307E-2</v>
      </c>
      <c r="G4" s="79">
        <v>2.7612557919211898</v>
      </c>
      <c r="H4" s="75">
        <f t="shared" si="0"/>
        <v>0.12885860362298887</v>
      </c>
      <c r="I4" s="82">
        <v>1.3557956570028462</v>
      </c>
      <c r="J4" s="83">
        <v>6.3270463993466156E-2</v>
      </c>
      <c r="K4" s="82">
        <v>1.4787457185883701E-2</v>
      </c>
      <c r="L4" s="83">
        <v>6.9008133534123942E-4</v>
      </c>
      <c r="M4" s="82">
        <v>3.0704107118791447E-5</v>
      </c>
      <c r="N4" s="108">
        <v>1.4328583322102676E-6</v>
      </c>
      <c r="O4" s="82">
        <v>7.8117925193802167E-4</v>
      </c>
      <c r="P4" s="83">
        <v>3.6455031757107681E-5</v>
      </c>
      <c r="Q4" s="80" t="s">
        <v>172</v>
      </c>
      <c r="R4" s="76" t="s">
        <v>172</v>
      </c>
      <c r="S4" s="80" t="s">
        <v>172</v>
      </c>
      <c r="T4" s="76" t="s">
        <v>172</v>
      </c>
      <c r="U4" s="23" t="s">
        <v>172</v>
      </c>
      <c r="V4" s="59" t="s">
        <v>172</v>
      </c>
      <c r="W4" s="23"/>
      <c r="X4" s="4">
        <v>0.13715250993671224</v>
      </c>
      <c r="Y4" s="75">
        <v>6.4004504637132391E-3</v>
      </c>
      <c r="Z4" s="80" t="s">
        <v>172</v>
      </c>
      <c r="AA4" s="76" t="s">
        <v>172</v>
      </c>
      <c r="AB4" s="23" t="s">
        <v>172</v>
      </c>
      <c r="AC4" s="59" t="s">
        <v>172</v>
      </c>
      <c r="AD4" s="23"/>
      <c r="AE4" s="4">
        <v>0.45058552144185299</v>
      </c>
      <c r="AF4" s="83">
        <v>2.1027324333953143E-2</v>
      </c>
      <c r="AG4" s="79">
        <v>2.5192310082606455</v>
      </c>
      <c r="AH4" s="75">
        <v>0.11756411371883013</v>
      </c>
      <c r="AI4" s="13">
        <v>0.13199989291474987</v>
      </c>
      <c r="AJ4" s="42">
        <v>6.1599950026883276E-3</v>
      </c>
    </row>
    <row r="5" spans="1:36" ht="15" customHeight="1" x14ac:dyDescent="0.15">
      <c r="A5" s="52" t="s">
        <v>8</v>
      </c>
      <c r="B5" s="22">
        <v>18</v>
      </c>
      <c r="C5" s="22">
        <v>6</v>
      </c>
      <c r="D5" s="13">
        <v>0.38600000000000001</v>
      </c>
      <c r="E5" s="4">
        <v>0.23901182697675269</v>
      </c>
      <c r="F5" s="75">
        <f t="shared" si="1"/>
        <v>1.5376427535504424E-2</v>
      </c>
      <c r="G5" s="79">
        <v>1.1385981485693502</v>
      </c>
      <c r="H5" s="75">
        <f t="shared" si="0"/>
        <v>7.3249814224628187E-2</v>
      </c>
      <c r="I5" s="82">
        <v>0.71112591373020673</v>
      </c>
      <c r="J5" s="83">
        <v>4.5749100449976633E-2</v>
      </c>
      <c r="K5" s="82">
        <v>9.2425952313696779E-3</v>
      </c>
      <c r="L5" s="83">
        <v>5.9460695988478257E-4</v>
      </c>
      <c r="M5" s="82">
        <v>1.3393063924837587E-4</v>
      </c>
      <c r="N5" s="108">
        <v>8.6162044583121804E-6</v>
      </c>
      <c r="O5" s="82">
        <v>1.1205611825942088E-3</v>
      </c>
      <c r="P5" s="83">
        <v>7.2089436080227437E-5</v>
      </c>
      <c r="Q5" s="80" t="s">
        <v>172</v>
      </c>
      <c r="R5" s="76" t="s">
        <v>172</v>
      </c>
      <c r="S5" s="80" t="s">
        <v>172</v>
      </c>
      <c r="T5" s="76" t="s">
        <v>172</v>
      </c>
      <c r="U5" s="23" t="s">
        <v>172</v>
      </c>
      <c r="V5" s="59" t="s">
        <v>172</v>
      </c>
      <c r="W5" s="23"/>
      <c r="X5" s="4">
        <v>8.8589278104465013E-2</v>
      </c>
      <c r="Y5" s="75">
        <v>5.6992435580539161E-3</v>
      </c>
      <c r="Z5" s="80" t="s">
        <v>172</v>
      </c>
      <c r="AA5" s="76" t="s">
        <v>172</v>
      </c>
      <c r="AB5" s="23" t="s">
        <v>172</v>
      </c>
      <c r="AC5" s="59" t="s">
        <v>172</v>
      </c>
      <c r="AD5" s="23"/>
      <c r="AE5" s="4">
        <v>0.31074756166133233</v>
      </c>
      <c r="AF5" s="83">
        <v>1.9991426466879045E-2</v>
      </c>
      <c r="AG5" s="79">
        <v>1.3313676054305359</v>
      </c>
      <c r="AH5" s="75">
        <v>8.5651315949364482E-2</v>
      </c>
      <c r="AI5" s="13">
        <v>8.813115426287664E-2</v>
      </c>
      <c r="AJ5" s="42">
        <v>5.6697709242450635E-3</v>
      </c>
    </row>
    <row r="6" spans="1:36" ht="15" customHeight="1" x14ac:dyDescent="0.15">
      <c r="A6" s="52" t="s">
        <v>9</v>
      </c>
      <c r="B6" s="22">
        <v>24</v>
      </c>
      <c r="C6" s="22">
        <v>6</v>
      </c>
      <c r="D6" s="13">
        <v>0.439</v>
      </c>
      <c r="E6" s="4">
        <v>0.21873794953328546</v>
      </c>
      <c r="F6" s="75">
        <f t="shared" si="1"/>
        <v>1.6004326640852055E-2</v>
      </c>
      <c r="G6" s="79">
        <v>0.80880575637353169</v>
      </c>
      <c r="H6" s="75">
        <f t="shared" si="0"/>
        <v>5.9177621174663401E-2</v>
      </c>
      <c r="I6" s="82">
        <v>0.56471936504997711</v>
      </c>
      <c r="J6" s="83">
        <v>4.1318633542823328E-2</v>
      </c>
      <c r="K6" s="82">
        <v>7.4468774949244176E-3</v>
      </c>
      <c r="L6" s="83">
        <v>5.4486320337863655E-4</v>
      </c>
      <c r="M6" s="82">
        <v>3.4600586749767079E-4</v>
      </c>
      <c r="N6" s="108">
        <v>2.5316095971912911E-5</v>
      </c>
      <c r="O6" s="82">
        <v>5.9402690842424869E-4</v>
      </c>
      <c r="P6" s="83">
        <v>4.3462968799707529E-5</v>
      </c>
      <c r="Q6" s="80" t="s">
        <v>172</v>
      </c>
      <c r="R6" s="76" t="s">
        <v>172</v>
      </c>
      <c r="S6" s="80" t="s">
        <v>172</v>
      </c>
      <c r="T6" s="76" t="s">
        <v>172</v>
      </c>
      <c r="U6" s="23" t="s">
        <v>172</v>
      </c>
      <c r="V6" s="59" t="s">
        <v>172</v>
      </c>
      <c r="W6" s="23"/>
      <c r="X6" s="4">
        <v>7.7257846217636525E-2</v>
      </c>
      <c r="Y6" s="75">
        <v>5.6526990815904052E-3</v>
      </c>
      <c r="Z6" s="80" t="s">
        <v>172</v>
      </c>
      <c r="AA6" s="76" t="s">
        <v>172</v>
      </c>
      <c r="AB6" s="23" t="s">
        <v>172</v>
      </c>
      <c r="AC6" s="59" t="s">
        <v>172</v>
      </c>
      <c r="AD6" s="23"/>
      <c r="AE6" s="4">
        <v>0.29733928798199422</v>
      </c>
      <c r="AF6" s="83">
        <v>2.1755324570682577E-2</v>
      </c>
      <c r="AG6" s="79">
        <v>1.2239907340866556</v>
      </c>
      <c r="AH6" s="75">
        <v>8.9555322044006971E-2</v>
      </c>
      <c r="AI6" s="13">
        <v>6.2241498890938995E-2</v>
      </c>
      <c r="AJ6" s="42">
        <v>4.5540030021870371E-3</v>
      </c>
    </row>
    <row r="7" spans="1:36" ht="15" customHeight="1" x14ac:dyDescent="0.15">
      <c r="A7" s="52" t="s">
        <v>10</v>
      </c>
      <c r="B7" s="22">
        <v>30</v>
      </c>
      <c r="C7" s="22">
        <v>6</v>
      </c>
      <c r="D7" s="13">
        <v>0.26</v>
      </c>
      <c r="E7" s="4">
        <v>0.38432619329527468</v>
      </c>
      <c r="F7" s="75">
        <f t="shared" si="1"/>
        <v>1.6654135042795237E-2</v>
      </c>
      <c r="G7" s="79">
        <v>0.87158135180056751</v>
      </c>
      <c r="H7" s="75">
        <f t="shared" si="0"/>
        <v>3.7768525244691258E-2</v>
      </c>
      <c r="I7" s="82">
        <v>0.77527651994681346</v>
      </c>
      <c r="J7" s="83">
        <v>3.3595315864361916E-2</v>
      </c>
      <c r="K7" s="82">
        <v>1.1313806694834092E-2</v>
      </c>
      <c r="L7" s="83">
        <v>4.9026495677614401E-4</v>
      </c>
      <c r="M7" s="82">
        <v>1.3715102314717108E-3</v>
      </c>
      <c r="N7" s="108">
        <v>5.9432110030440803E-5</v>
      </c>
      <c r="O7" s="82">
        <v>4.2659789333360324E-4</v>
      </c>
      <c r="P7" s="83">
        <v>1.8485908711122808E-5</v>
      </c>
      <c r="Q7" s="80" t="s">
        <v>172</v>
      </c>
      <c r="R7" s="76" t="s">
        <v>172</v>
      </c>
      <c r="S7" s="80" t="s">
        <v>172</v>
      </c>
      <c r="T7" s="76" t="s">
        <v>172</v>
      </c>
      <c r="U7" s="23" t="s">
        <v>172</v>
      </c>
      <c r="V7" s="59" t="s">
        <v>172</v>
      </c>
      <c r="W7" s="23"/>
      <c r="X7" s="4">
        <v>0.12437203928872168</v>
      </c>
      <c r="Y7" s="75">
        <v>5.3894550358446064E-3</v>
      </c>
      <c r="Z7" s="80" t="s">
        <v>172</v>
      </c>
      <c r="AA7" s="76" t="s">
        <v>172</v>
      </c>
      <c r="AB7" s="23" t="s">
        <v>172</v>
      </c>
      <c r="AC7" s="59" t="s">
        <v>172</v>
      </c>
      <c r="AD7" s="23"/>
      <c r="AE7" s="4">
        <v>0.39400248147644928</v>
      </c>
      <c r="AF7" s="83">
        <v>1.707344086397947E-2</v>
      </c>
      <c r="AG7" s="79">
        <v>1.8078877968236586</v>
      </c>
      <c r="AH7" s="75">
        <v>7.8341804529025214E-2</v>
      </c>
      <c r="AI7" s="13">
        <v>9.7304584191436561E-2</v>
      </c>
      <c r="AJ7" s="42">
        <v>4.2165319816289178E-3</v>
      </c>
    </row>
    <row r="8" spans="1:36" ht="15" customHeight="1" x14ac:dyDescent="0.15">
      <c r="A8" s="52" t="s">
        <v>11</v>
      </c>
      <c r="B8" s="22">
        <v>36</v>
      </c>
      <c r="C8" s="22">
        <v>6</v>
      </c>
      <c r="D8" s="13">
        <v>0.251</v>
      </c>
      <c r="E8" s="4">
        <v>0.43330310745663858</v>
      </c>
      <c r="F8" s="75">
        <f t="shared" si="1"/>
        <v>1.8126513328602715E-2</v>
      </c>
      <c r="G8" s="79">
        <v>0.79442538050264999</v>
      </c>
      <c r="H8" s="75">
        <f t="shared" si="0"/>
        <v>3.3233461751027524E-2</v>
      </c>
      <c r="I8" s="82">
        <v>0.77000396522751346</v>
      </c>
      <c r="J8" s="83">
        <v>3.2211832545350975E-2</v>
      </c>
      <c r="K8" s="82">
        <v>8.1500654075304865E-3</v>
      </c>
      <c r="L8" s="83">
        <v>3.4094440288169207E-4</v>
      </c>
      <c r="M8" s="82">
        <v>4.6647437149441399E-4</v>
      </c>
      <c r="N8" s="108">
        <v>1.9514177874182987E-5</v>
      </c>
      <c r="O8" s="82">
        <v>1.1145299431719189E-4</v>
      </c>
      <c r="P8" s="83">
        <v>4.6624502622691939E-6</v>
      </c>
      <c r="Q8" s="80" t="s">
        <v>172</v>
      </c>
      <c r="R8" s="76" t="s">
        <v>172</v>
      </c>
      <c r="S8" s="80" t="s">
        <v>172</v>
      </c>
      <c r="T8" s="76" t="s">
        <v>172</v>
      </c>
      <c r="U8" s="23" t="s">
        <v>172</v>
      </c>
      <c r="V8" s="59" t="s">
        <v>172</v>
      </c>
      <c r="W8" s="23"/>
      <c r="X8" s="4">
        <v>0.14513088690525519</v>
      </c>
      <c r="Y8" s="75">
        <v>6.0713087688698429E-3</v>
      </c>
      <c r="Z8" s="80" t="s">
        <v>172</v>
      </c>
      <c r="AA8" s="76" t="s">
        <v>172</v>
      </c>
      <c r="AB8" s="23" t="s">
        <v>172</v>
      </c>
      <c r="AC8" s="59" t="s">
        <v>172</v>
      </c>
      <c r="AD8" s="23"/>
      <c r="AE8" s="4">
        <v>0.34946667509549828</v>
      </c>
      <c r="AF8" s="83">
        <v>1.4619355908161678E-2</v>
      </c>
      <c r="AG8" s="79">
        <v>2.0868495648716716</v>
      </c>
      <c r="AH8" s="75">
        <v>8.7299873463798264E-2</v>
      </c>
      <c r="AI8" s="13">
        <v>7.1200820075160348E-2</v>
      </c>
      <c r="AJ8" s="42">
        <v>2.9785676398108745E-3</v>
      </c>
    </row>
    <row r="9" spans="1:36" ht="15" customHeight="1" x14ac:dyDescent="0.15">
      <c r="A9" s="52" t="s">
        <v>12</v>
      </c>
      <c r="B9" s="22">
        <v>42</v>
      </c>
      <c r="C9" s="22">
        <v>6</v>
      </c>
      <c r="D9" s="13">
        <v>0.371</v>
      </c>
      <c r="E9" s="4">
        <v>0.25818709481038415</v>
      </c>
      <c r="F9" s="75">
        <f t="shared" si="1"/>
        <v>1.5964568695775418E-2</v>
      </c>
      <c r="G9" s="79">
        <v>0.33933229510267721</v>
      </c>
      <c r="H9" s="75">
        <f t="shared" si="0"/>
        <v>2.0982046913848876E-2</v>
      </c>
      <c r="I9" s="82">
        <v>0.46129039979142866</v>
      </c>
      <c r="J9" s="83">
        <v>2.8523123053770003E-2</v>
      </c>
      <c r="K9" s="82">
        <v>6.3175806962825218E-3</v>
      </c>
      <c r="L9" s="83">
        <v>3.9063707305346925E-4</v>
      </c>
      <c r="M9" s="82">
        <v>2.0999931560982546E-4</v>
      </c>
      <c r="N9" s="108">
        <v>1.2984957681874207E-5</v>
      </c>
      <c r="O9" s="82">
        <v>1.0620987396492347E-4</v>
      </c>
      <c r="P9" s="83">
        <v>6.5673105401644348E-6</v>
      </c>
      <c r="Q9" s="80" t="s">
        <v>172</v>
      </c>
      <c r="R9" s="76" t="s">
        <v>172</v>
      </c>
      <c r="S9" s="80" t="s">
        <v>172</v>
      </c>
      <c r="T9" s="76" t="s">
        <v>172</v>
      </c>
      <c r="U9" s="23" t="s">
        <v>172</v>
      </c>
      <c r="V9" s="59" t="s">
        <v>172</v>
      </c>
      <c r="W9" s="23"/>
      <c r="X9" s="4">
        <v>9.4979964211512613E-2</v>
      </c>
      <c r="Y9" s="75">
        <v>5.87292778707853E-3</v>
      </c>
      <c r="Z9" s="80" t="s">
        <v>172</v>
      </c>
      <c r="AA9" s="76" t="s">
        <v>172</v>
      </c>
      <c r="AB9" s="23" t="s">
        <v>172</v>
      </c>
      <c r="AC9" s="59" t="s">
        <v>172</v>
      </c>
      <c r="AD9" s="23"/>
      <c r="AE9" s="4">
        <v>0.24446553374456204</v>
      </c>
      <c r="AF9" s="83">
        <v>1.5116118836538753E-2</v>
      </c>
      <c r="AG9" s="79">
        <v>1.1904537496390022</v>
      </c>
      <c r="AH9" s="75">
        <v>7.3609723519344972E-2</v>
      </c>
      <c r="AI9" s="13">
        <v>5.887029118874685E-2</v>
      </c>
      <c r="AJ9" s="42">
        <v>3.6401463385041799E-3</v>
      </c>
    </row>
    <row r="10" spans="1:36" ht="15" customHeight="1" x14ac:dyDescent="0.15">
      <c r="A10" s="52" t="s">
        <v>13</v>
      </c>
      <c r="B10" s="22">
        <v>48</v>
      </c>
      <c r="C10" s="22">
        <v>6</v>
      </c>
      <c r="D10" s="13">
        <v>0.5</v>
      </c>
      <c r="E10" s="4">
        <v>0.2258871469668387</v>
      </c>
      <c r="F10" s="75">
        <f t="shared" si="1"/>
        <v>1.8823928913903224E-2</v>
      </c>
      <c r="G10" s="79">
        <v>0.24188194752431377</v>
      </c>
      <c r="H10" s="75">
        <f t="shared" si="0"/>
        <v>2.0156828960359481E-2</v>
      </c>
      <c r="I10" s="82">
        <v>0.36890122637369943</v>
      </c>
      <c r="J10" s="83">
        <v>3.0741768864474953E-2</v>
      </c>
      <c r="K10" s="82">
        <v>6.1040658145092913E-3</v>
      </c>
      <c r="L10" s="83">
        <v>5.0867215120910757E-4</v>
      </c>
      <c r="M10" s="82">
        <v>0</v>
      </c>
      <c r="N10" s="108"/>
      <c r="O10" s="82">
        <v>9.5987249870299997E-4</v>
      </c>
      <c r="P10" s="83">
        <v>7.998937489191666E-5</v>
      </c>
      <c r="Q10" s="80" t="s">
        <v>172</v>
      </c>
      <c r="R10" s="76" t="s">
        <v>172</v>
      </c>
      <c r="S10" s="80" t="s">
        <v>172</v>
      </c>
      <c r="T10" s="76" t="s">
        <v>172</v>
      </c>
      <c r="U10" s="23" t="s">
        <v>172</v>
      </c>
      <c r="V10" s="59" t="s">
        <v>172</v>
      </c>
      <c r="W10" s="23"/>
      <c r="X10" s="4">
        <v>8.2431280625027553E-2</v>
      </c>
      <c r="Y10" s="75">
        <v>6.8692733854189628E-3</v>
      </c>
      <c r="Z10" s="80" t="s">
        <v>172</v>
      </c>
      <c r="AA10" s="76" t="s">
        <v>172</v>
      </c>
      <c r="AB10" s="23" t="s">
        <v>172</v>
      </c>
      <c r="AC10" s="59" t="s">
        <v>172</v>
      </c>
      <c r="AD10" s="23"/>
      <c r="AE10" s="4">
        <v>0.23954233537774652</v>
      </c>
      <c r="AF10" s="83">
        <v>1.9961861281478876E-2</v>
      </c>
      <c r="AG10" s="79">
        <v>0.96776754659120523</v>
      </c>
      <c r="AH10" s="75">
        <v>8.0647295549267098E-2</v>
      </c>
      <c r="AI10" s="13">
        <v>5.3601671291172229E-2</v>
      </c>
      <c r="AJ10" s="42">
        <v>4.4668059409310188E-3</v>
      </c>
    </row>
    <row r="11" spans="1:36" ht="15" customHeight="1" x14ac:dyDescent="0.15">
      <c r="A11" s="52" t="s">
        <v>14</v>
      </c>
      <c r="B11" s="22">
        <v>54</v>
      </c>
      <c r="C11" s="22">
        <v>6</v>
      </c>
      <c r="D11" s="13">
        <v>0.33</v>
      </c>
      <c r="E11" s="4">
        <v>0.25403394890006192</v>
      </c>
      <c r="F11" s="75">
        <f t="shared" si="1"/>
        <v>1.3971867189503407E-2</v>
      </c>
      <c r="G11" s="79">
        <v>0.19727925684734651</v>
      </c>
      <c r="H11" s="75">
        <f t="shared" si="0"/>
        <v>1.0850359126604059E-2</v>
      </c>
      <c r="I11" s="82">
        <v>0.42933466494460532</v>
      </c>
      <c r="J11" s="83">
        <v>2.3613406571953294E-2</v>
      </c>
      <c r="K11" s="82">
        <v>1.1144907159942589E-2</v>
      </c>
      <c r="L11" s="83">
        <v>6.1296989379684252E-4</v>
      </c>
      <c r="M11" s="82">
        <v>7.5237552583523278E-4</v>
      </c>
      <c r="N11" s="108">
        <v>4.1380653920937805E-5</v>
      </c>
      <c r="O11" s="82">
        <v>1.9689274754780398E-4</v>
      </c>
      <c r="P11" s="83">
        <v>1.0829101115129218E-5</v>
      </c>
      <c r="Q11" s="80" t="s">
        <v>172</v>
      </c>
      <c r="R11" s="76" t="s">
        <v>172</v>
      </c>
      <c r="S11" s="80" t="s">
        <v>172</v>
      </c>
      <c r="T11" s="76" t="s">
        <v>172</v>
      </c>
      <c r="U11" s="23" t="s">
        <v>172</v>
      </c>
      <c r="V11" s="59" t="s">
        <v>172</v>
      </c>
      <c r="W11" s="23"/>
      <c r="X11" s="4">
        <v>0.12957506585063489</v>
      </c>
      <c r="Y11" s="75">
        <v>7.126628621784919E-3</v>
      </c>
      <c r="Z11" s="80" t="s">
        <v>172</v>
      </c>
      <c r="AA11" s="76" t="s">
        <v>172</v>
      </c>
      <c r="AB11" s="23" t="s">
        <v>172</v>
      </c>
      <c r="AC11" s="59" t="s">
        <v>172</v>
      </c>
      <c r="AD11" s="23"/>
      <c r="AE11" s="4">
        <v>0.31348122790115085</v>
      </c>
      <c r="AF11" s="83">
        <v>1.7241467534563296E-2</v>
      </c>
      <c r="AG11" s="79">
        <v>1.2105999907864846</v>
      </c>
      <c r="AH11" s="75">
        <v>6.6582999493256648E-2</v>
      </c>
      <c r="AI11" s="13">
        <v>8.8731184241168215E-2</v>
      </c>
      <c r="AJ11" s="42">
        <v>4.8802151332642523E-3</v>
      </c>
    </row>
    <row r="12" spans="1:36" ht="15" customHeight="1" x14ac:dyDescent="0.15">
      <c r="A12" s="52" t="s">
        <v>15</v>
      </c>
      <c r="B12" s="22">
        <v>60</v>
      </c>
      <c r="C12" s="22">
        <v>6</v>
      </c>
      <c r="D12" s="13">
        <v>0.29699999999999999</v>
      </c>
      <c r="E12" s="4">
        <v>0.31028767083222436</v>
      </c>
      <c r="F12" s="75">
        <f t="shared" si="1"/>
        <v>1.5359239706195106E-2</v>
      </c>
      <c r="G12" s="79">
        <v>0.22060983625112865</v>
      </c>
      <c r="H12" s="75">
        <f t="shared" si="0"/>
        <v>1.0920186894430868E-2</v>
      </c>
      <c r="I12" s="82">
        <v>0.53791199355586028</v>
      </c>
      <c r="J12" s="83">
        <v>2.6626643681015083E-2</v>
      </c>
      <c r="K12" s="82">
        <v>1.3775623617463923E-2</v>
      </c>
      <c r="L12" s="83">
        <v>6.8189336906446414E-4</v>
      </c>
      <c r="M12" s="82">
        <v>0</v>
      </c>
      <c r="N12" s="108"/>
      <c r="O12" s="82">
        <v>0</v>
      </c>
      <c r="P12" s="83">
        <v>-5.9879372562306898E-6</v>
      </c>
      <c r="Q12" s="80" t="s">
        <v>172</v>
      </c>
      <c r="R12" s="76" t="s">
        <v>172</v>
      </c>
      <c r="S12" s="80" t="s">
        <v>172</v>
      </c>
      <c r="T12" s="76" t="s">
        <v>172</v>
      </c>
      <c r="U12" s="23" t="s">
        <v>172</v>
      </c>
      <c r="V12" s="59" t="s">
        <v>172</v>
      </c>
      <c r="W12" s="23"/>
      <c r="X12" s="4">
        <v>0.19571369429503924</v>
      </c>
      <c r="Y12" s="75">
        <v>9.687827867604441E-3</v>
      </c>
      <c r="Z12" s="80" t="s">
        <v>172</v>
      </c>
      <c r="AA12" s="76" t="s">
        <v>172</v>
      </c>
      <c r="AB12" s="23" t="s">
        <v>172</v>
      </c>
      <c r="AC12" s="59" t="s">
        <v>172</v>
      </c>
      <c r="AD12" s="23"/>
      <c r="AE12" s="4">
        <v>0.38022533524515029</v>
      </c>
      <c r="AF12" s="83">
        <v>1.8821154094634938E-2</v>
      </c>
      <c r="AG12" s="79">
        <v>1.5978087589868779</v>
      </c>
      <c r="AH12" s="75">
        <v>7.909153356985045E-2</v>
      </c>
      <c r="AI12" s="13">
        <v>0.10276187817891279</v>
      </c>
      <c r="AJ12" s="42">
        <v>5.0867129698561825E-3</v>
      </c>
    </row>
    <row r="13" spans="1:36" ht="15" customHeight="1" x14ac:dyDescent="0.15">
      <c r="A13" s="52" t="s">
        <v>16</v>
      </c>
      <c r="B13" s="22">
        <v>66</v>
      </c>
      <c r="C13" s="22">
        <v>6</v>
      </c>
      <c r="D13" s="13">
        <v>0.22500000000000001</v>
      </c>
      <c r="E13" s="4">
        <v>0.29132139896667558</v>
      </c>
      <c r="F13" s="75">
        <f t="shared" si="1"/>
        <v>1.0924552461250334E-2</v>
      </c>
      <c r="G13" s="79">
        <v>0.16993218002340577</v>
      </c>
      <c r="H13" s="75">
        <f t="shared" si="0"/>
        <v>6.3724567508777162E-3</v>
      </c>
      <c r="I13" s="82">
        <v>0.47335294971059511</v>
      </c>
      <c r="J13" s="83">
        <v>1.7750735614147316E-2</v>
      </c>
      <c r="K13" s="82">
        <v>1.2017141310798372E-2</v>
      </c>
      <c r="L13" s="83">
        <v>4.5064279915493891E-4</v>
      </c>
      <c r="M13" s="82">
        <v>6.2932095270293634E-4</v>
      </c>
      <c r="N13" s="108">
        <v>2.3599535726360113E-5</v>
      </c>
      <c r="O13" s="82">
        <v>4.9051653133017656E-4</v>
      </c>
      <c r="P13" s="83">
        <v>1.8394369924881621E-5</v>
      </c>
      <c r="Q13" s="80" t="s">
        <v>172</v>
      </c>
      <c r="R13" s="76" t="s">
        <v>172</v>
      </c>
      <c r="S13" s="80" t="s">
        <v>172</v>
      </c>
      <c r="T13" s="76" t="s">
        <v>172</v>
      </c>
      <c r="U13" s="23" t="s">
        <v>172</v>
      </c>
      <c r="V13" s="59" t="s">
        <v>172</v>
      </c>
      <c r="W13" s="23"/>
      <c r="X13" s="4">
        <v>0.19070332198365667</v>
      </c>
      <c r="Y13" s="75">
        <v>7.1513745743871258E-3</v>
      </c>
      <c r="Z13" s="80" t="s">
        <v>172</v>
      </c>
      <c r="AA13" s="76" t="s">
        <v>172</v>
      </c>
      <c r="AB13" s="23" t="s">
        <v>172</v>
      </c>
      <c r="AC13" s="59" t="s">
        <v>172</v>
      </c>
      <c r="AD13" s="23"/>
      <c r="AE13" s="4">
        <v>0.36943943922313521</v>
      </c>
      <c r="AF13" s="83">
        <v>1.385397897086757E-2</v>
      </c>
      <c r="AG13" s="79">
        <v>1.4735142930922662</v>
      </c>
      <c r="AH13" s="75">
        <v>5.5256785990959983E-2</v>
      </c>
      <c r="AI13" s="13">
        <v>7.7469288263614808E-2</v>
      </c>
      <c r="AJ13" s="42">
        <v>2.9050983098855552E-3</v>
      </c>
    </row>
    <row r="14" spans="1:36" ht="15" customHeight="1" x14ac:dyDescent="0.15">
      <c r="A14" s="52" t="s">
        <v>17</v>
      </c>
      <c r="B14" s="22">
        <v>72</v>
      </c>
      <c r="C14" s="22">
        <v>6</v>
      </c>
      <c r="D14" s="13">
        <v>0.35399999999999998</v>
      </c>
      <c r="E14" s="4">
        <v>0.28447893247322253</v>
      </c>
      <c r="F14" s="75">
        <f t="shared" si="1"/>
        <v>1.6784257015920127E-2</v>
      </c>
      <c r="G14" s="79">
        <v>0.10387697388595026</v>
      </c>
      <c r="H14" s="75">
        <f t="shared" si="0"/>
        <v>6.1287414592710648E-3</v>
      </c>
      <c r="I14" s="82">
        <v>0.36555278805296687</v>
      </c>
      <c r="J14" s="83">
        <v>2.1567614495125047E-2</v>
      </c>
      <c r="K14" s="82">
        <v>1.1493018953926877E-2</v>
      </c>
      <c r="L14" s="83">
        <v>6.7808811828168564E-4</v>
      </c>
      <c r="M14" s="82">
        <v>5.3327005458985897E-4</v>
      </c>
      <c r="N14" s="108">
        <v>3.1462933220801679E-5</v>
      </c>
      <c r="O14" s="82">
        <v>0</v>
      </c>
      <c r="P14" s="83">
        <v>-3.2150352873151745E-6</v>
      </c>
      <c r="Q14" s="80" t="s">
        <v>172</v>
      </c>
      <c r="R14" s="76" t="s">
        <v>172</v>
      </c>
      <c r="S14" s="80" t="s">
        <v>172</v>
      </c>
      <c r="T14" s="76" t="s">
        <v>172</v>
      </c>
      <c r="U14" s="23" t="s">
        <v>172</v>
      </c>
      <c r="V14" s="59" t="s">
        <v>172</v>
      </c>
      <c r="W14" s="23"/>
      <c r="X14" s="4">
        <v>0.15244953920205784</v>
      </c>
      <c r="Y14" s="75">
        <v>8.9945228129214121E-3</v>
      </c>
      <c r="Z14" s="80" t="s">
        <v>172</v>
      </c>
      <c r="AA14" s="76" t="s">
        <v>172</v>
      </c>
      <c r="AB14" s="23" t="s">
        <v>172</v>
      </c>
      <c r="AC14" s="59" t="s">
        <v>172</v>
      </c>
      <c r="AD14" s="23"/>
      <c r="AE14" s="4">
        <v>0.31883247505601592</v>
      </c>
      <c r="AF14" s="83">
        <v>1.8811116028304938E-2</v>
      </c>
      <c r="AG14" s="79">
        <v>1.2407868594763978</v>
      </c>
      <c r="AH14" s="75">
        <v>7.3206424709107473E-2</v>
      </c>
      <c r="AI14" s="13">
        <v>8.3106683595915692E-2</v>
      </c>
      <c r="AJ14" s="42">
        <v>4.9032943321590259E-3</v>
      </c>
    </row>
    <row r="15" spans="1:36" ht="15" customHeight="1" x14ac:dyDescent="0.15">
      <c r="A15" s="52" t="s">
        <v>18</v>
      </c>
      <c r="B15" s="22">
        <v>78</v>
      </c>
      <c r="C15" s="22">
        <v>6</v>
      </c>
      <c r="D15" s="13">
        <v>0.77700000000000002</v>
      </c>
      <c r="E15" s="4">
        <v>0.11624880290473294</v>
      </c>
      <c r="F15" s="75">
        <f t="shared" si="1"/>
        <v>1.5054219976162915E-2</v>
      </c>
      <c r="G15" s="79">
        <v>2.6012720777902537E-2</v>
      </c>
      <c r="H15" s="75">
        <f t="shared" si="0"/>
        <v>3.3686473407383787E-3</v>
      </c>
      <c r="I15" s="82">
        <v>0.12045316932217418</v>
      </c>
      <c r="J15" s="83">
        <v>1.5598685427221556E-2</v>
      </c>
      <c r="K15" s="82">
        <v>4.7516955735372977E-3</v>
      </c>
      <c r="L15" s="83">
        <v>6.1534457677308002E-4</v>
      </c>
      <c r="M15" s="82">
        <v>5.3572457597112635E-6</v>
      </c>
      <c r="N15" s="108">
        <v>6.9376332588260863E-7</v>
      </c>
      <c r="O15" s="82">
        <v>0</v>
      </c>
      <c r="P15" s="83">
        <v>-1.5297271157352854E-5</v>
      </c>
      <c r="Q15" s="80" t="s">
        <v>172</v>
      </c>
      <c r="R15" s="76" t="s">
        <v>172</v>
      </c>
      <c r="S15" s="80" t="s">
        <v>172</v>
      </c>
      <c r="T15" s="76" t="s">
        <v>172</v>
      </c>
      <c r="U15" s="23" t="s">
        <v>172</v>
      </c>
      <c r="V15" s="59" t="s">
        <v>172</v>
      </c>
      <c r="W15" s="23"/>
      <c r="X15" s="4">
        <v>4.9633130324811134E-2</v>
      </c>
      <c r="Y15" s="75">
        <v>6.4274903770630415E-3</v>
      </c>
      <c r="Z15" s="80" t="s">
        <v>172</v>
      </c>
      <c r="AA15" s="76" t="s">
        <v>172</v>
      </c>
      <c r="AB15" s="23" t="s">
        <v>172</v>
      </c>
      <c r="AC15" s="59" t="s">
        <v>172</v>
      </c>
      <c r="AD15" s="23"/>
      <c r="AE15" s="4">
        <v>0.1048946441501756</v>
      </c>
      <c r="AF15" s="83">
        <v>1.3583856417447741E-2</v>
      </c>
      <c r="AG15" s="79">
        <v>0.42006697049418229</v>
      </c>
      <c r="AH15" s="75">
        <v>5.4398672678996611E-2</v>
      </c>
      <c r="AI15" s="13">
        <v>4.8361233697887661E-2</v>
      </c>
      <c r="AJ15" s="42">
        <v>6.2627797638764521E-3</v>
      </c>
    </row>
    <row r="16" spans="1:36" ht="15" customHeight="1" x14ac:dyDescent="0.15">
      <c r="A16" s="52" t="s">
        <v>19</v>
      </c>
      <c r="B16" s="22">
        <v>84</v>
      </c>
      <c r="C16" s="22">
        <v>6</v>
      </c>
      <c r="D16" s="13">
        <v>0.57799999999999996</v>
      </c>
      <c r="E16" s="4">
        <v>0.13023807722959604</v>
      </c>
      <c r="F16" s="75">
        <f t="shared" si="1"/>
        <v>1.2546268106451085E-2</v>
      </c>
      <c r="G16" s="79">
        <v>2.9804265436094008E-2</v>
      </c>
      <c r="H16" s="75">
        <f t="shared" si="0"/>
        <v>2.8711442370103891E-3</v>
      </c>
      <c r="I16" s="82">
        <v>0.13315019068637607</v>
      </c>
      <c r="J16" s="83">
        <v>1.2826801702787561E-2</v>
      </c>
      <c r="K16" s="82">
        <v>5.3129473335215439E-3</v>
      </c>
      <c r="L16" s="83">
        <v>5.1181392646257534E-4</v>
      </c>
      <c r="M16" s="82">
        <v>0</v>
      </c>
      <c r="N16" s="108"/>
      <c r="O16" s="82">
        <v>8.6553957561057409E-4</v>
      </c>
      <c r="P16" s="83">
        <v>8.3380312450485289E-5</v>
      </c>
      <c r="Q16" s="80" t="s">
        <v>172</v>
      </c>
      <c r="R16" s="76" t="s">
        <v>172</v>
      </c>
      <c r="S16" s="80" t="s">
        <v>172</v>
      </c>
      <c r="T16" s="76" t="s">
        <v>172</v>
      </c>
      <c r="U16" s="23" t="s">
        <v>172</v>
      </c>
      <c r="V16" s="59" t="s">
        <v>172</v>
      </c>
      <c r="W16" s="23"/>
      <c r="X16" s="4">
        <v>6.9271214640645035E-2</v>
      </c>
      <c r="Y16" s="75">
        <v>6.6731270103821379E-3</v>
      </c>
      <c r="Z16" s="80" t="s">
        <v>172</v>
      </c>
      <c r="AA16" s="76" t="s">
        <v>172</v>
      </c>
      <c r="AB16" s="23" t="s">
        <v>172</v>
      </c>
      <c r="AC16" s="59" t="s">
        <v>172</v>
      </c>
      <c r="AD16" s="23"/>
      <c r="AE16" s="4">
        <v>0.12349938929576812</v>
      </c>
      <c r="AF16" s="83">
        <v>1.1897107835492327E-2</v>
      </c>
      <c r="AG16" s="79">
        <v>0.54543059816802997</v>
      </c>
      <c r="AH16" s="75">
        <v>5.254314762352022E-2</v>
      </c>
      <c r="AI16" s="13">
        <v>4.5019730810319944E-2</v>
      </c>
      <c r="AJ16" s="42">
        <v>4.3369007347274875E-3</v>
      </c>
    </row>
    <row r="17" spans="1:36" ht="15" customHeight="1" x14ac:dyDescent="0.15">
      <c r="A17" s="52" t="s">
        <v>20</v>
      </c>
      <c r="B17" s="22">
        <v>90</v>
      </c>
      <c r="C17" s="22">
        <v>6</v>
      </c>
      <c r="D17" s="13">
        <v>0.38800000000000001</v>
      </c>
      <c r="E17" s="4">
        <v>0.1813304500474883</v>
      </c>
      <c r="F17" s="75">
        <f t="shared" si="1"/>
        <v>1.1726035769737577E-2</v>
      </c>
      <c r="G17" s="80" t="s">
        <v>172</v>
      </c>
      <c r="H17" s="76" t="s">
        <v>172</v>
      </c>
      <c r="I17" s="82">
        <v>0.15200359357997972</v>
      </c>
      <c r="J17" s="83">
        <v>9.829565718172022E-3</v>
      </c>
      <c r="K17" s="82">
        <v>5.0628441391197985E-3</v>
      </c>
      <c r="L17" s="83">
        <v>3.2739725432974698E-4</v>
      </c>
      <c r="M17" s="82">
        <v>0</v>
      </c>
      <c r="N17" s="108"/>
      <c r="O17" s="82">
        <v>1.0699935834630222E-3</v>
      </c>
      <c r="P17" s="83">
        <v>6.9192918397275436E-5</v>
      </c>
      <c r="Q17" s="80" t="s">
        <v>172</v>
      </c>
      <c r="R17" s="76" t="s">
        <v>172</v>
      </c>
      <c r="S17" s="80" t="s">
        <v>172</v>
      </c>
      <c r="T17" s="76" t="s">
        <v>172</v>
      </c>
      <c r="U17" s="23" t="s">
        <v>172</v>
      </c>
      <c r="V17" s="59" t="s">
        <v>172</v>
      </c>
      <c r="W17" s="23"/>
      <c r="X17" s="4">
        <v>7.0650163116505779E-2</v>
      </c>
      <c r="Y17" s="75">
        <v>4.5687105482007072E-3</v>
      </c>
      <c r="Z17" s="80" t="s">
        <v>172</v>
      </c>
      <c r="AA17" s="76" t="s">
        <v>172</v>
      </c>
      <c r="AB17" s="23" t="s">
        <v>172</v>
      </c>
      <c r="AC17" s="59" t="s">
        <v>172</v>
      </c>
      <c r="AD17" s="23"/>
      <c r="AE17" s="4">
        <v>0.13843930681758118</v>
      </c>
      <c r="AF17" s="83">
        <v>8.9524085075369155E-3</v>
      </c>
      <c r="AG17" s="79">
        <v>0.68049751845183526</v>
      </c>
      <c r="AH17" s="75">
        <v>4.4005506193218684E-2</v>
      </c>
      <c r="AI17" s="13">
        <v>4.1178496324117901E-2</v>
      </c>
      <c r="AJ17" s="42">
        <v>2.662876095626291E-3</v>
      </c>
    </row>
    <row r="18" spans="1:36" ht="15" customHeight="1" x14ac:dyDescent="0.15">
      <c r="A18" s="52" t="s">
        <v>21</v>
      </c>
      <c r="B18" s="22">
        <v>96</v>
      </c>
      <c r="C18" s="22">
        <v>6</v>
      </c>
      <c r="D18" s="13">
        <v>0.504</v>
      </c>
      <c r="E18" s="4">
        <v>0.12193467063518075</v>
      </c>
      <c r="F18" s="75">
        <f t="shared" si="1"/>
        <v>1.0242512333355184E-2</v>
      </c>
      <c r="G18" s="80" t="s">
        <v>172</v>
      </c>
      <c r="H18" s="76" t="s">
        <v>172</v>
      </c>
      <c r="I18" s="82">
        <v>0.11569248685723417</v>
      </c>
      <c r="J18" s="83">
        <v>9.7181688960076701E-3</v>
      </c>
      <c r="K18" s="82">
        <v>4.5275455652898974E-3</v>
      </c>
      <c r="L18" s="83">
        <v>3.803138274843514E-4</v>
      </c>
      <c r="M18" s="82">
        <v>2.0673416655414136E-4</v>
      </c>
      <c r="N18" s="108">
        <v>1.7365669990547875E-5</v>
      </c>
      <c r="O18" s="82">
        <v>0</v>
      </c>
      <c r="P18" s="83">
        <v>-2.7511238045965838E-5</v>
      </c>
      <c r="Q18" s="80" t="s">
        <v>172</v>
      </c>
      <c r="R18" s="76" t="s">
        <v>172</v>
      </c>
      <c r="S18" s="80" t="s">
        <v>172</v>
      </c>
      <c r="T18" s="76" t="s">
        <v>172</v>
      </c>
      <c r="U18" s="23" t="s">
        <v>172</v>
      </c>
      <c r="V18" s="59" t="s">
        <v>172</v>
      </c>
      <c r="W18" s="23"/>
      <c r="X18" s="4">
        <v>6.3302466700162791E-2</v>
      </c>
      <c r="Y18" s="75">
        <v>5.3174072028136744E-3</v>
      </c>
      <c r="Z18" s="80" t="s">
        <v>172</v>
      </c>
      <c r="AA18" s="76" t="s">
        <v>172</v>
      </c>
      <c r="AB18" s="23" t="s">
        <v>172</v>
      </c>
      <c r="AC18" s="59" t="s">
        <v>172</v>
      </c>
      <c r="AD18" s="23"/>
      <c r="AE18" s="4">
        <v>0.11255276136978204</v>
      </c>
      <c r="AF18" s="83">
        <v>9.4544319550616904E-3</v>
      </c>
      <c r="AG18" s="79">
        <v>0.47844215769495818</v>
      </c>
      <c r="AH18" s="75">
        <v>4.0189141246376486E-2</v>
      </c>
      <c r="AI18" s="13">
        <v>4.2948533789741852E-2</v>
      </c>
      <c r="AJ18" s="42">
        <v>3.6076768383383156E-3</v>
      </c>
    </row>
    <row r="19" spans="1:36" ht="15" customHeight="1" x14ac:dyDescent="0.15">
      <c r="A19" s="52" t="s">
        <v>22</v>
      </c>
      <c r="B19" s="22">
        <v>102</v>
      </c>
      <c r="C19" s="22">
        <v>6</v>
      </c>
      <c r="D19" s="13">
        <v>0.17699999999999999</v>
      </c>
      <c r="E19" s="4">
        <v>0.29634094585910425</v>
      </c>
      <c r="F19" s="75">
        <f t="shared" si="1"/>
        <v>8.7420579028435752E-3</v>
      </c>
      <c r="G19" s="79">
        <v>4.146014423746449E-2</v>
      </c>
      <c r="H19" s="75">
        <v>1.2230742550052023E-3</v>
      </c>
      <c r="I19" s="82">
        <v>0.21553101806080907</v>
      </c>
      <c r="J19" s="83">
        <v>6.3581650327938673E-3</v>
      </c>
      <c r="K19" s="82">
        <v>7.1893246238395776E-3</v>
      </c>
      <c r="L19" s="83">
        <v>2.1208507640326752E-4</v>
      </c>
      <c r="M19" s="82">
        <v>0</v>
      </c>
      <c r="N19" s="108"/>
      <c r="O19" s="82">
        <v>0</v>
      </c>
      <c r="P19" s="83">
        <v>-4.3070281304952642E-6</v>
      </c>
      <c r="Q19" s="80" t="s">
        <v>172</v>
      </c>
      <c r="R19" s="76" t="s">
        <v>172</v>
      </c>
      <c r="S19" s="80" t="s">
        <v>172</v>
      </c>
      <c r="T19" s="76" t="s">
        <v>172</v>
      </c>
      <c r="U19" s="23" t="s">
        <v>172</v>
      </c>
      <c r="V19" s="59" t="s">
        <v>172</v>
      </c>
      <c r="W19" s="23"/>
      <c r="X19" s="4">
        <v>0.15868823397636525</v>
      </c>
      <c r="Y19" s="75">
        <v>4.6813029023027751E-3</v>
      </c>
      <c r="Z19" s="80" t="s">
        <v>172</v>
      </c>
      <c r="AA19" s="76" t="s">
        <v>172</v>
      </c>
      <c r="AB19" s="23" t="s">
        <v>172</v>
      </c>
      <c r="AC19" s="59" t="s">
        <v>172</v>
      </c>
      <c r="AD19" s="23"/>
      <c r="AE19" s="4">
        <v>0.18390506291607603</v>
      </c>
      <c r="AF19" s="83">
        <v>5.4251993560242425E-3</v>
      </c>
      <c r="AG19" s="79">
        <v>1.1125491072205658</v>
      </c>
      <c r="AH19" s="75">
        <v>3.2820198663006693E-2</v>
      </c>
      <c r="AI19" s="13">
        <v>4.8728865524747332E-2</v>
      </c>
      <c r="AJ19" s="42">
        <v>1.4375015329800463E-3</v>
      </c>
    </row>
    <row r="20" spans="1:36" ht="15" customHeight="1" x14ac:dyDescent="0.15">
      <c r="A20" s="52" t="s">
        <v>23</v>
      </c>
      <c r="B20" s="22">
        <v>108</v>
      </c>
      <c r="C20" s="22">
        <v>6</v>
      </c>
      <c r="D20" s="13">
        <v>0.26900000000000002</v>
      </c>
      <c r="E20" s="4">
        <v>0.21017693739397486</v>
      </c>
      <c r="F20" s="75">
        <f t="shared" si="1"/>
        <v>9.4229326931632076E-3</v>
      </c>
      <c r="G20" s="80" t="s">
        <v>172</v>
      </c>
      <c r="H20" s="76" t="s">
        <v>172</v>
      </c>
      <c r="I20" s="82">
        <v>0.17324093122682233</v>
      </c>
      <c r="J20" s="83">
        <v>7.7669684166692017E-3</v>
      </c>
      <c r="K20" s="82">
        <v>7.4242367574526924E-3</v>
      </c>
      <c r="L20" s="83">
        <v>3.3285328129246239E-4</v>
      </c>
      <c r="M20" s="82">
        <v>4.834390165791075E-4</v>
      </c>
      <c r="N20" s="108">
        <v>2.1674182576629989E-5</v>
      </c>
      <c r="O20" s="82">
        <v>3.9183284383248858E-4</v>
      </c>
      <c r="P20" s="83">
        <v>1.7567172498489904E-5</v>
      </c>
      <c r="Q20" s="80" t="s">
        <v>172</v>
      </c>
      <c r="R20" s="76" t="s">
        <v>172</v>
      </c>
      <c r="S20" s="80" t="s">
        <v>172</v>
      </c>
      <c r="T20" s="76" t="s">
        <v>172</v>
      </c>
      <c r="U20" s="23" t="s">
        <v>172</v>
      </c>
      <c r="V20" s="59" t="s">
        <v>172</v>
      </c>
      <c r="W20" s="23"/>
      <c r="X20" s="4">
        <v>0.12699604941289178</v>
      </c>
      <c r="Y20" s="75">
        <v>5.6936562153446476E-3</v>
      </c>
      <c r="Z20" s="80" t="s">
        <v>172</v>
      </c>
      <c r="AA20" s="76" t="s">
        <v>172</v>
      </c>
      <c r="AB20" s="23" t="s">
        <v>172</v>
      </c>
      <c r="AC20" s="59" t="s">
        <v>172</v>
      </c>
      <c r="AD20" s="23"/>
      <c r="AE20" s="4">
        <v>0.19651829959491909</v>
      </c>
      <c r="AF20" s="83">
        <v>8.8105704318388722E-3</v>
      </c>
      <c r="AG20" s="79">
        <v>0.88666360861966964</v>
      </c>
      <c r="AH20" s="75">
        <v>3.9752085119781858E-2</v>
      </c>
      <c r="AI20" s="13">
        <v>5.964336457846417E-2</v>
      </c>
      <c r="AJ20" s="42">
        <v>2.6740108452678103E-3</v>
      </c>
    </row>
    <row r="21" spans="1:36" ht="15" customHeight="1" x14ac:dyDescent="0.15">
      <c r="A21" s="52" t="s">
        <v>24</v>
      </c>
      <c r="B21" s="22">
        <v>120</v>
      </c>
      <c r="C21" s="22">
        <v>12</v>
      </c>
      <c r="D21" s="13">
        <v>0.66800000000000004</v>
      </c>
      <c r="E21" s="4">
        <v>0.20082104067081152</v>
      </c>
      <c r="F21" s="75">
        <f t="shared" si="1"/>
        <v>1.1179037930675177E-2</v>
      </c>
      <c r="G21" s="80" t="s">
        <v>172</v>
      </c>
      <c r="H21" s="76" t="s">
        <v>172</v>
      </c>
      <c r="I21" s="82">
        <v>0.13895260507542245</v>
      </c>
      <c r="J21" s="83">
        <v>7.7350283491985162E-3</v>
      </c>
      <c r="K21" s="82">
        <v>1.1084641414928613E-2</v>
      </c>
      <c r="L21" s="83">
        <v>6.1704503876435955E-4</v>
      </c>
      <c r="M21" s="82">
        <v>3.3053708642794021E-4</v>
      </c>
      <c r="N21" s="108">
        <v>1.839989781115534E-5</v>
      </c>
      <c r="O21" s="82">
        <v>4.8433823344430844E-4</v>
      </c>
      <c r="P21" s="83">
        <v>2.6961494995066503E-5</v>
      </c>
      <c r="Q21" s="80" t="s">
        <v>172</v>
      </c>
      <c r="R21" s="76" t="s">
        <v>172</v>
      </c>
      <c r="S21" s="80" t="s">
        <v>172</v>
      </c>
      <c r="T21" s="76" t="s">
        <v>172</v>
      </c>
      <c r="U21" s="23" t="s">
        <v>172</v>
      </c>
      <c r="V21" s="59" t="s">
        <v>172</v>
      </c>
      <c r="W21" s="23"/>
      <c r="X21" s="4">
        <v>0.12201675033493004</v>
      </c>
      <c r="Y21" s="75">
        <v>6.7922657686444385E-3</v>
      </c>
      <c r="Z21" s="80" t="s">
        <v>172</v>
      </c>
      <c r="AA21" s="76" t="s">
        <v>172</v>
      </c>
      <c r="AB21" s="23" t="s">
        <v>172</v>
      </c>
      <c r="AC21" s="59" t="s">
        <v>172</v>
      </c>
      <c r="AD21" s="23"/>
      <c r="AE21" s="4">
        <v>0.19141454107157441</v>
      </c>
      <c r="AF21" s="83">
        <v>1.0655409452984309E-2</v>
      </c>
      <c r="AG21" s="79">
        <v>0.72508055063806309</v>
      </c>
      <c r="AH21" s="75">
        <v>4.0362817318852183E-2</v>
      </c>
      <c r="AI21" s="13">
        <v>8.7394605247628571E-2</v>
      </c>
      <c r="AJ21" s="42">
        <v>4.8649663587846574E-3</v>
      </c>
    </row>
    <row r="22" spans="1:36" ht="15" customHeight="1" x14ac:dyDescent="0.15">
      <c r="A22" s="52" t="s">
        <v>25</v>
      </c>
      <c r="B22" s="22">
        <v>132</v>
      </c>
      <c r="C22" s="22">
        <v>12</v>
      </c>
      <c r="D22" s="13">
        <v>0.77100000000000002</v>
      </c>
      <c r="E22" s="4">
        <v>0.16964710648396625</v>
      </c>
      <c r="F22" s="75">
        <f t="shared" si="1"/>
        <v>1.0899826591594832E-2</v>
      </c>
      <c r="G22" s="80" t="s">
        <v>172</v>
      </c>
      <c r="H22" s="76" t="s">
        <v>172</v>
      </c>
      <c r="I22" s="82">
        <v>8.9776318212219014E-2</v>
      </c>
      <c r="J22" s="83">
        <v>5.768128445135072E-3</v>
      </c>
      <c r="K22" s="82">
        <v>7.4244252417968266E-3</v>
      </c>
      <c r="L22" s="83">
        <v>4.7701932178544613E-4</v>
      </c>
      <c r="M22" s="82">
        <v>0</v>
      </c>
      <c r="N22" s="108"/>
      <c r="O22" s="82">
        <v>2.259911596817631E-5</v>
      </c>
      <c r="P22" s="83">
        <v>1.4519932009553282E-6</v>
      </c>
      <c r="Q22" s="80" t="s">
        <v>172</v>
      </c>
      <c r="R22" s="76" t="s">
        <v>172</v>
      </c>
      <c r="S22" s="80" t="s">
        <v>172</v>
      </c>
      <c r="T22" s="76" t="s">
        <v>172</v>
      </c>
      <c r="U22" s="23" t="s">
        <v>172</v>
      </c>
      <c r="V22" s="59" t="s">
        <v>172</v>
      </c>
      <c r="W22" s="23"/>
      <c r="X22" s="4">
        <v>0.10733476024293596</v>
      </c>
      <c r="Y22" s="75">
        <v>6.8962583456086352E-3</v>
      </c>
      <c r="Z22" s="80" t="s">
        <v>172</v>
      </c>
      <c r="AA22" s="76" t="s">
        <v>172</v>
      </c>
      <c r="AB22" s="23" t="s">
        <v>172</v>
      </c>
      <c r="AC22" s="59" t="s">
        <v>172</v>
      </c>
      <c r="AD22" s="23"/>
      <c r="AE22" s="4">
        <v>0.13406162384984407</v>
      </c>
      <c r="AF22" s="83">
        <v>8.613459332352481E-3</v>
      </c>
      <c r="AG22" s="79">
        <v>0.52292306230310326</v>
      </c>
      <c r="AH22" s="75">
        <v>3.3597806752974385E-2</v>
      </c>
      <c r="AI22" s="13">
        <v>4.6912658668396473E-2</v>
      </c>
      <c r="AJ22" s="42">
        <v>3.0141383194444735E-3</v>
      </c>
    </row>
    <row r="23" spans="1:36" ht="15" customHeight="1" x14ac:dyDescent="0.15">
      <c r="A23" s="52" t="s">
        <v>26</v>
      </c>
      <c r="B23" s="22">
        <v>144</v>
      </c>
      <c r="C23" s="22">
        <v>12</v>
      </c>
      <c r="D23" s="13">
        <v>1.028</v>
      </c>
      <c r="E23" s="4">
        <v>9.6038293849498524E-2</v>
      </c>
      <c r="F23" s="75">
        <f t="shared" si="1"/>
        <v>8.227280506440374E-3</v>
      </c>
      <c r="G23" s="80" t="s">
        <v>172</v>
      </c>
      <c r="H23" s="76" t="s">
        <v>172</v>
      </c>
      <c r="I23" s="82">
        <v>5.0983403965937847E-2</v>
      </c>
      <c r="J23" s="83">
        <v>4.3675782730820088E-3</v>
      </c>
      <c r="K23" s="82">
        <v>7.1338286386163959E-3</v>
      </c>
      <c r="L23" s="83">
        <v>6.111313200414713E-4</v>
      </c>
      <c r="M23" s="82">
        <v>0</v>
      </c>
      <c r="N23" s="108"/>
      <c r="O23" s="82">
        <v>6.6208704970969578E-4</v>
      </c>
      <c r="P23" s="83">
        <v>5.6718790591797277E-5</v>
      </c>
      <c r="Q23" s="80" t="s">
        <v>172</v>
      </c>
      <c r="R23" s="76" t="s">
        <v>172</v>
      </c>
      <c r="S23" s="80" t="s">
        <v>172</v>
      </c>
      <c r="T23" s="76" t="s">
        <v>172</v>
      </c>
      <c r="U23" s="23" t="s">
        <v>172</v>
      </c>
      <c r="V23" s="59" t="s">
        <v>172</v>
      </c>
      <c r="W23" s="23"/>
      <c r="X23" s="4">
        <v>7.2459553663559176E-2</v>
      </c>
      <c r="Y23" s="75">
        <v>6.2073684305115695E-3</v>
      </c>
      <c r="Z23" s="80" t="s">
        <v>172</v>
      </c>
      <c r="AA23" s="76" t="s">
        <v>172</v>
      </c>
      <c r="AB23" s="23" t="s">
        <v>172</v>
      </c>
      <c r="AC23" s="59" t="s">
        <v>172</v>
      </c>
      <c r="AD23" s="23"/>
      <c r="AE23" s="4">
        <v>0.13669628445023901</v>
      </c>
      <c r="AF23" s="83">
        <v>1.1710315034570476E-2</v>
      </c>
      <c r="AG23" s="79">
        <v>0.3518369831235903</v>
      </c>
      <c r="AH23" s="75">
        <v>3.0140701554254235E-2</v>
      </c>
      <c r="AI23" s="13">
        <v>4.6653662834772083E-2</v>
      </c>
      <c r="AJ23" s="42">
        <v>3.9966637828454752E-3</v>
      </c>
    </row>
    <row r="24" spans="1:36" ht="15" customHeight="1" x14ac:dyDescent="0.15">
      <c r="A24" s="52" t="s">
        <v>27</v>
      </c>
      <c r="B24" s="22">
        <v>576</v>
      </c>
      <c r="C24" s="22">
        <v>12</v>
      </c>
      <c r="D24" s="13">
        <v>1.149</v>
      </c>
      <c r="E24" s="19" t="s">
        <v>172</v>
      </c>
      <c r="F24" s="76" t="s">
        <v>172</v>
      </c>
      <c r="G24" s="80" t="s">
        <v>172</v>
      </c>
      <c r="H24" s="76" t="s">
        <v>172</v>
      </c>
      <c r="I24" s="80" t="s">
        <v>172</v>
      </c>
      <c r="J24" s="76" t="s">
        <v>172</v>
      </c>
      <c r="K24" s="82">
        <v>6.7745413215734591E-3</v>
      </c>
      <c r="L24" s="83">
        <v>6.4866233154065869E-4</v>
      </c>
      <c r="M24" s="82">
        <v>4.7140712704089599E-5</v>
      </c>
      <c r="N24" s="108">
        <v>4.5137232414165797E-6</v>
      </c>
      <c r="O24" s="82">
        <v>1.220856082766913E-4</v>
      </c>
      <c r="P24" s="83">
        <v>1.1689696992493192E-5</v>
      </c>
      <c r="Q24" s="80" t="s">
        <v>172</v>
      </c>
      <c r="R24" s="76" t="s">
        <v>172</v>
      </c>
      <c r="S24" s="80" t="s">
        <v>172</v>
      </c>
      <c r="T24" s="76" t="s">
        <v>172</v>
      </c>
      <c r="U24" s="23" t="s">
        <v>172</v>
      </c>
      <c r="V24" s="59" t="s">
        <v>172</v>
      </c>
      <c r="W24" s="23"/>
      <c r="X24" s="4">
        <v>5.4476694717157943E-2</v>
      </c>
      <c r="Y24" s="75">
        <v>5.216143519167874E-3</v>
      </c>
      <c r="Z24" s="80" t="s">
        <v>172</v>
      </c>
      <c r="AA24" s="76" t="s">
        <v>172</v>
      </c>
      <c r="AB24" s="23" t="s">
        <v>172</v>
      </c>
      <c r="AC24" s="59" t="s">
        <v>172</v>
      </c>
      <c r="AD24" s="23"/>
      <c r="AE24" s="4">
        <v>8.6598852416742457E-3</v>
      </c>
      <c r="AF24" s="83">
        <v>8.2918401189030911E-4</v>
      </c>
      <c r="AG24" s="80" t="s">
        <v>172</v>
      </c>
      <c r="AH24" s="76" t="s">
        <v>172</v>
      </c>
      <c r="AI24" s="13">
        <v>2.1294772665110043E-2</v>
      </c>
      <c r="AJ24" s="42">
        <v>2.0389744826842869E-3</v>
      </c>
    </row>
    <row r="25" spans="1:36" ht="15" customHeight="1" x14ac:dyDescent="0.15">
      <c r="A25" s="52" t="s">
        <v>28</v>
      </c>
      <c r="B25" s="22">
        <v>588</v>
      </c>
      <c r="C25" s="22">
        <v>12</v>
      </c>
      <c r="D25" s="13">
        <v>0.86499999999999999</v>
      </c>
      <c r="E25" s="19" t="s">
        <v>172</v>
      </c>
      <c r="F25" s="76" t="s">
        <v>172</v>
      </c>
      <c r="G25" s="80" t="s">
        <v>172</v>
      </c>
      <c r="H25" s="76" t="s">
        <v>172</v>
      </c>
      <c r="I25" s="80" t="s">
        <v>172</v>
      </c>
      <c r="J25" s="76" t="s">
        <v>172</v>
      </c>
      <c r="K25" s="82">
        <v>1.0421133530946225E-2</v>
      </c>
      <c r="L25" s="83">
        <v>7.5119004202237364E-4</v>
      </c>
      <c r="M25" s="82">
        <v>5.5640811952596908E-4</v>
      </c>
      <c r="N25" s="108">
        <v>4.0107751949163601E-5</v>
      </c>
      <c r="O25" s="82">
        <v>4.2344532178175852E-4</v>
      </c>
      <c r="P25" s="83">
        <v>3.0523350278435095E-5</v>
      </c>
      <c r="Q25" s="80" t="s">
        <v>172</v>
      </c>
      <c r="R25" s="76" t="s">
        <v>172</v>
      </c>
      <c r="S25" s="80" t="s">
        <v>172</v>
      </c>
      <c r="T25" s="76" t="s">
        <v>172</v>
      </c>
      <c r="U25" s="23" t="s">
        <v>172</v>
      </c>
      <c r="V25" s="59" t="s">
        <v>172</v>
      </c>
      <c r="W25" s="23"/>
      <c r="X25" s="4">
        <v>8.8065900093265675E-2</v>
      </c>
      <c r="Y25" s="75">
        <v>6.3480836317229006E-3</v>
      </c>
      <c r="Z25" s="80" t="s">
        <v>172</v>
      </c>
      <c r="AA25" s="76" t="s">
        <v>172</v>
      </c>
      <c r="AB25" s="23" t="s">
        <v>172</v>
      </c>
      <c r="AC25" s="59" t="s">
        <v>172</v>
      </c>
      <c r="AD25" s="23"/>
      <c r="AE25" s="4">
        <v>7.4422938359652007E-3</v>
      </c>
      <c r="AF25" s="83">
        <v>5.3646534734249154E-4</v>
      </c>
      <c r="AG25" s="80" t="s">
        <v>172</v>
      </c>
      <c r="AH25" s="76" t="s">
        <v>172</v>
      </c>
      <c r="AI25" s="13">
        <v>3.2269700051471478E-2</v>
      </c>
      <c r="AJ25" s="42">
        <v>2.3261075453769025E-3</v>
      </c>
    </row>
    <row r="26" spans="1:36" ht="15" customHeight="1" x14ac:dyDescent="0.15">
      <c r="A26" s="52" t="s">
        <v>29</v>
      </c>
      <c r="B26" s="22">
        <v>864</v>
      </c>
      <c r="C26" s="22">
        <v>12</v>
      </c>
      <c r="D26" s="13">
        <v>0.67400000000000004</v>
      </c>
      <c r="E26" s="19" t="s">
        <v>172</v>
      </c>
      <c r="F26" s="76" t="s">
        <v>172</v>
      </c>
      <c r="G26" s="80" t="s">
        <v>172</v>
      </c>
      <c r="H26" s="76" t="s">
        <v>172</v>
      </c>
      <c r="I26" s="80" t="s">
        <v>172</v>
      </c>
      <c r="J26" s="76" t="s">
        <v>172</v>
      </c>
      <c r="K26" s="82">
        <v>7.4569316539977708E-3</v>
      </c>
      <c r="L26" s="83">
        <v>4.1883099456620812E-4</v>
      </c>
      <c r="M26" s="82">
        <v>4.4526449705027655E-4</v>
      </c>
      <c r="N26" s="108">
        <v>2.500902258432387E-5</v>
      </c>
      <c r="O26" s="82">
        <v>6.0848056089664533E-5</v>
      </c>
      <c r="P26" s="83">
        <v>3.4176324837028251E-6</v>
      </c>
      <c r="Q26" s="80" t="s">
        <v>172</v>
      </c>
      <c r="R26" s="76" t="s">
        <v>172</v>
      </c>
      <c r="S26" s="80" t="s">
        <v>172</v>
      </c>
      <c r="T26" s="76" t="s">
        <v>172</v>
      </c>
      <c r="U26" s="23" t="s">
        <v>172</v>
      </c>
      <c r="V26" s="59" t="s">
        <v>172</v>
      </c>
      <c r="W26" s="23"/>
      <c r="X26" s="4">
        <v>6.7901774415421501E-2</v>
      </c>
      <c r="Y26" s="75">
        <v>3.8138163296661744E-3</v>
      </c>
      <c r="Z26" s="80" t="s">
        <v>172</v>
      </c>
      <c r="AA26" s="76" t="s">
        <v>172</v>
      </c>
      <c r="AB26" s="23" t="s">
        <v>172</v>
      </c>
      <c r="AC26" s="59" t="s">
        <v>172</v>
      </c>
      <c r="AD26" s="23"/>
      <c r="AE26" s="4">
        <v>2.8261461286812587E-4</v>
      </c>
      <c r="AF26" s="83">
        <v>1.5873520756093072E-5</v>
      </c>
      <c r="AG26" s="80" t="s">
        <v>172</v>
      </c>
      <c r="AH26" s="76" t="s">
        <v>172</v>
      </c>
      <c r="AI26" s="13">
        <v>1.8821974629679855E-2</v>
      </c>
      <c r="AJ26" s="42">
        <v>1.0571675750336853E-3</v>
      </c>
    </row>
    <row r="27" spans="1:36" ht="15" customHeight="1" x14ac:dyDescent="0.15">
      <c r="A27" s="52" t="s">
        <v>30</v>
      </c>
      <c r="B27" s="22">
        <v>876</v>
      </c>
      <c r="C27" s="22">
        <v>12</v>
      </c>
      <c r="D27" s="13">
        <v>1.448</v>
      </c>
      <c r="E27" s="19" t="s">
        <v>172</v>
      </c>
      <c r="F27" s="76" t="s">
        <v>172</v>
      </c>
      <c r="G27" s="80" t="s">
        <v>172</v>
      </c>
      <c r="H27" s="76" t="s">
        <v>172</v>
      </c>
      <c r="I27" s="80" t="s">
        <v>172</v>
      </c>
      <c r="J27" s="76" t="s">
        <v>172</v>
      </c>
      <c r="K27" s="82">
        <v>4.9289940245238993E-3</v>
      </c>
      <c r="L27" s="83">
        <v>5.9476527895921719E-4</v>
      </c>
      <c r="M27" s="82">
        <v>0</v>
      </c>
      <c r="N27" s="108"/>
      <c r="O27" s="82">
        <v>0</v>
      </c>
      <c r="P27" s="83">
        <v>-5.1650807176713254E-6</v>
      </c>
      <c r="Q27" s="80" t="s">
        <v>172</v>
      </c>
      <c r="R27" s="76" t="s">
        <v>172</v>
      </c>
      <c r="S27" s="80" t="s">
        <v>172</v>
      </c>
      <c r="T27" s="76" t="s">
        <v>172</v>
      </c>
      <c r="U27" s="23" t="s">
        <v>172</v>
      </c>
      <c r="V27" s="59" t="s">
        <v>172</v>
      </c>
      <c r="W27" s="23"/>
      <c r="X27" s="4">
        <v>3.4504658592105782E-2</v>
      </c>
      <c r="Y27" s="75">
        <v>4.1635621367807638E-3</v>
      </c>
      <c r="Z27" s="80" t="s">
        <v>172</v>
      </c>
      <c r="AA27" s="76" t="s">
        <v>172</v>
      </c>
      <c r="AB27" s="23" t="s">
        <v>172</v>
      </c>
      <c r="AC27" s="59" t="s">
        <v>172</v>
      </c>
      <c r="AD27" s="23"/>
      <c r="AE27" s="4">
        <v>4.1688898756367518E-5</v>
      </c>
      <c r="AF27" s="83">
        <v>5.0304604499350138E-6</v>
      </c>
      <c r="AG27" s="80" t="s">
        <v>172</v>
      </c>
      <c r="AH27" s="76" t="s">
        <v>172</v>
      </c>
      <c r="AI27" s="13">
        <v>1.4081976585907133E-2</v>
      </c>
      <c r="AJ27" s="42">
        <v>1.6992251746994608E-3</v>
      </c>
    </row>
    <row r="28" spans="1:36" ht="15" customHeight="1" x14ac:dyDescent="0.15">
      <c r="A28" s="52" t="s">
        <v>31</v>
      </c>
      <c r="B28" s="22">
        <v>2400</v>
      </c>
      <c r="C28" s="22">
        <v>12</v>
      </c>
      <c r="D28" s="13">
        <v>0.36899999999999999</v>
      </c>
      <c r="E28" s="19" t="s">
        <v>172</v>
      </c>
      <c r="F28" s="76" t="s">
        <v>172</v>
      </c>
      <c r="G28" s="80" t="s">
        <v>172</v>
      </c>
      <c r="H28" s="76" t="s">
        <v>172</v>
      </c>
      <c r="I28" s="80" t="s">
        <v>172</v>
      </c>
      <c r="J28" s="76" t="s">
        <v>172</v>
      </c>
      <c r="K28" s="82">
        <v>6.3307818849123714E-3</v>
      </c>
      <c r="L28" s="83">
        <v>1.9467154296105542E-4</v>
      </c>
      <c r="M28" s="82">
        <v>0</v>
      </c>
      <c r="N28" s="108"/>
      <c r="O28" s="82">
        <v>1.0960084081203297E-3</v>
      </c>
      <c r="P28" s="83">
        <v>3.370225854970014E-5</v>
      </c>
      <c r="Q28" s="80" t="s">
        <v>172</v>
      </c>
      <c r="R28" s="76" t="s">
        <v>172</v>
      </c>
      <c r="S28" s="80" t="s">
        <v>172</v>
      </c>
      <c r="T28" s="76" t="s">
        <v>172</v>
      </c>
      <c r="U28" s="23" t="s">
        <v>172</v>
      </c>
      <c r="V28" s="59" t="s">
        <v>172</v>
      </c>
      <c r="W28" s="23"/>
      <c r="X28" s="4">
        <v>4.6144946858800877E-2</v>
      </c>
      <c r="Y28" s="75">
        <v>1.4189571159081271E-3</v>
      </c>
      <c r="Z28" s="80" t="s">
        <v>172</v>
      </c>
      <c r="AA28" s="76" t="s">
        <v>172</v>
      </c>
      <c r="AB28" s="23" t="s">
        <v>172</v>
      </c>
      <c r="AC28" s="59" t="s">
        <v>172</v>
      </c>
      <c r="AD28" s="23"/>
      <c r="AE28" s="4">
        <v>3.0880346229945803E-3</v>
      </c>
      <c r="AF28" s="83">
        <v>9.495706465708335E-5</v>
      </c>
      <c r="AG28" s="80" t="s">
        <v>172</v>
      </c>
      <c r="AH28" s="76" t="s">
        <v>172</v>
      </c>
      <c r="AI28" s="13">
        <v>5.1110545051455672E-3</v>
      </c>
      <c r="AJ28" s="42">
        <v>1.571649260332262E-4</v>
      </c>
    </row>
    <row r="29" spans="1:36" ht="15" customHeight="1" thickBot="1" x14ac:dyDescent="0.2">
      <c r="A29" s="53" t="s">
        <v>32</v>
      </c>
      <c r="B29" s="28">
        <v>2412</v>
      </c>
      <c r="C29" s="28">
        <v>12</v>
      </c>
      <c r="D29" s="45">
        <v>0.46800000000000003</v>
      </c>
      <c r="E29" s="60" t="s">
        <v>172</v>
      </c>
      <c r="F29" s="77" t="s">
        <v>172</v>
      </c>
      <c r="G29" s="81" t="s">
        <v>172</v>
      </c>
      <c r="H29" s="77" t="s">
        <v>172</v>
      </c>
      <c r="I29" s="81" t="s">
        <v>172</v>
      </c>
      <c r="J29" s="77" t="s">
        <v>172</v>
      </c>
      <c r="K29" s="84">
        <v>6.0343437847850687E-3</v>
      </c>
      <c r="L29" s="85">
        <v>2.3533940760661769E-4</v>
      </c>
      <c r="M29" s="84">
        <v>5.6493925061727203E-4</v>
      </c>
      <c r="N29" s="109">
        <v>2.203263077407361E-5</v>
      </c>
      <c r="O29" s="84">
        <v>7.4426082047011975E-4</v>
      </c>
      <c r="P29" s="85">
        <v>2.9026171998334672E-5</v>
      </c>
      <c r="Q29" s="81" t="s">
        <v>172</v>
      </c>
      <c r="R29" s="77" t="s">
        <v>172</v>
      </c>
      <c r="S29" s="81" t="s">
        <v>172</v>
      </c>
      <c r="T29" s="77" t="s">
        <v>172</v>
      </c>
      <c r="U29" s="58" t="s">
        <v>172</v>
      </c>
      <c r="V29" s="61" t="s">
        <v>172</v>
      </c>
      <c r="W29" s="58"/>
      <c r="X29" s="48">
        <v>4.8499633020146968E-2</v>
      </c>
      <c r="Y29" s="86">
        <v>1.8914856877857318E-3</v>
      </c>
      <c r="Z29" s="81" t="s">
        <v>172</v>
      </c>
      <c r="AA29" s="77" t="s">
        <v>172</v>
      </c>
      <c r="AB29" s="58" t="s">
        <v>172</v>
      </c>
      <c r="AC29" s="61" t="s">
        <v>172</v>
      </c>
      <c r="AD29" s="58"/>
      <c r="AE29" s="48">
        <v>4.2149940380221268E-3</v>
      </c>
      <c r="AF29" s="85">
        <v>1.6438476748286294E-4</v>
      </c>
      <c r="AG29" s="81" t="s">
        <v>172</v>
      </c>
      <c r="AH29" s="77" t="s">
        <v>172</v>
      </c>
      <c r="AI29" s="45">
        <v>5.7434634408849404E-3</v>
      </c>
      <c r="AJ29" s="46">
        <v>2.2399507419451267E-4</v>
      </c>
    </row>
    <row r="30" spans="1:36" ht="15" customHeight="1" x14ac:dyDescent="0.1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24">
        <f>AVERAGE(N3:N29)</f>
        <v>2.2208501158952863E-5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6" ht="51.5" customHeight="1" x14ac:dyDescent="0.15">
      <c r="C31" s="13"/>
      <c r="D31" s="13"/>
      <c r="E31" s="13"/>
      <c r="F31" s="13"/>
      <c r="G31" s="114"/>
      <c r="H31" s="114"/>
      <c r="I31" s="114"/>
      <c r="J31" s="114"/>
      <c r="K31" s="13"/>
      <c r="L31" s="13"/>
      <c r="M31" s="113" t="s">
        <v>166</v>
      </c>
      <c r="N31" s="113"/>
      <c r="O31" s="113" t="s">
        <v>173</v>
      </c>
      <c r="P31" s="1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13" t="s">
        <v>164</v>
      </c>
      <c r="AF31" s="113"/>
      <c r="AG31" s="114"/>
      <c r="AH31" s="114"/>
      <c r="AI31" s="114"/>
      <c r="AJ31" s="114"/>
    </row>
    <row r="32" spans="1:36" ht="15" customHeight="1" x14ac:dyDescent="0.15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6" ht="15" customHeight="1" x14ac:dyDescent="0.15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6" ht="15" customHeight="1" x14ac:dyDescent="0.15">
      <c r="A34" s="123"/>
      <c r="B34" s="123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56"/>
      <c r="X34" s="112"/>
      <c r="Y34" s="112"/>
      <c r="Z34" s="112"/>
      <c r="AA34" s="112"/>
      <c r="AB34" s="112"/>
      <c r="AC34" s="112"/>
      <c r="AD34" s="56"/>
      <c r="AE34" s="112"/>
      <c r="AF34" s="112"/>
      <c r="AG34" s="112"/>
      <c r="AH34" s="112"/>
      <c r="AI34" s="112"/>
      <c r="AJ34" s="112"/>
    </row>
    <row r="35" spans="1:36" ht="15" customHeight="1" x14ac:dyDescent="0.15">
      <c r="A35" s="123"/>
      <c r="B35" s="123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</row>
    <row r="36" spans="1:36" ht="15" customHeight="1" x14ac:dyDescent="0.2">
      <c r="A36" s="115"/>
      <c r="B36" s="115"/>
      <c r="C36" s="51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</row>
    <row r="37" spans="1:36" ht="15" customHeight="1" x14ac:dyDescent="0.2">
      <c r="A37" s="115"/>
      <c r="B37" s="115"/>
      <c r="C37" s="51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</row>
    <row r="38" spans="1:36" ht="15" customHeight="1" x14ac:dyDescent="0.2">
      <c r="A38" s="115"/>
      <c r="B38" s="115"/>
      <c r="C38" s="51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</row>
    <row r="39" spans="1:36" ht="15" customHeight="1" x14ac:dyDescent="0.2">
      <c r="A39" s="115"/>
      <c r="B39" s="115"/>
      <c r="C39" s="51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spans="1:36" ht="15" customHeight="1" x14ac:dyDescent="0.2">
      <c r="A40" s="115"/>
      <c r="B40" s="115"/>
      <c r="C40" s="51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spans="1:36" ht="15" customHeight="1" x14ac:dyDescent="0.2">
      <c r="A41" s="115"/>
      <c r="B41" s="115"/>
      <c r="C41" s="51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spans="1:36" ht="15" customHeight="1" x14ac:dyDescent="0.2">
      <c r="A42" s="115"/>
      <c r="B42" s="115"/>
      <c r="C42" s="51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spans="1:36" ht="15" customHeight="1" x14ac:dyDescent="0.2">
      <c r="A43" s="115"/>
      <c r="B43" s="115"/>
      <c r="C43" s="51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spans="1:36" ht="15" customHeight="1" x14ac:dyDescent="0.2">
      <c r="A44" s="115"/>
      <c r="B44" s="115"/>
      <c r="C44" s="51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spans="1:36" ht="15" customHeight="1" x14ac:dyDescent="0.2">
      <c r="A45" s="55"/>
      <c r="B45" s="55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" customHeight="1" x14ac:dyDescent="0.2">
      <c r="A46" s="55"/>
      <c r="B46" s="55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" customHeight="1" x14ac:dyDescent="0.2">
      <c r="A47" s="55"/>
      <c r="B47" s="55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" customHeight="1" x14ac:dyDescent="0.2">
      <c r="A48" s="55"/>
      <c r="B48" s="55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</sheetData>
  <mergeCells count="50">
    <mergeCell ref="D1:D2"/>
    <mergeCell ref="O34:P34"/>
    <mergeCell ref="K34:L34"/>
    <mergeCell ref="M34:N34"/>
    <mergeCell ref="A43:B43"/>
    <mergeCell ref="A41:B41"/>
    <mergeCell ref="A42:B42"/>
    <mergeCell ref="B1:B2"/>
    <mergeCell ref="A34:B35"/>
    <mergeCell ref="A36:B36"/>
    <mergeCell ref="A37:B37"/>
    <mergeCell ref="A39:B39"/>
    <mergeCell ref="A40:B40"/>
    <mergeCell ref="O31:P31"/>
    <mergeCell ref="M31:N31"/>
    <mergeCell ref="C34:F34"/>
    <mergeCell ref="AI1:AJ1"/>
    <mergeCell ref="AG1:AH1"/>
    <mergeCell ref="AE1:AF1"/>
    <mergeCell ref="AE34:AF34"/>
    <mergeCell ref="AG34:AH34"/>
    <mergeCell ref="AI31:AJ31"/>
    <mergeCell ref="AG31:AH31"/>
    <mergeCell ref="A44:B44"/>
    <mergeCell ref="Z1:AA1"/>
    <mergeCell ref="AB1:AC1"/>
    <mergeCell ref="O1:P1"/>
    <mergeCell ref="Q1:R1"/>
    <mergeCell ref="S1:T1"/>
    <mergeCell ref="U1:V1"/>
    <mergeCell ref="X1:Y1"/>
    <mergeCell ref="E1:F1"/>
    <mergeCell ref="G1:H1"/>
    <mergeCell ref="I1:J1"/>
    <mergeCell ref="K1:L1"/>
    <mergeCell ref="M1:N1"/>
    <mergeCell ref="A38:B38"/>
    <mergeCell ref="C1:C2"/>
    <mergeCell ref="G31:H31"/>
    <mergeCell ref="G34:H34"/>
    <mergeCell ref="I34:J34"/>
    <mergeCell ref="AE31:AF31"/>
    <mergeCell ref="I31:J31"/>
    <mergeCell ref="AI34:AJ34"/>
    <mergeCell ref="Q34:R34"/>
    <mergeCell ref="S34:T34"/>
    <mergeCell ref="U34:V34"/>
    <mergeCell ref="X34:Y34"/>
    <mergeCell ref="Z34:AA34"/>
    <mergeCell ref="AB34:AC34"/>
  </mergeCells>
  <phoneticPr fontId="6" type="noConversion"/>
  <conditionalFormatting sqref="D36:P44">
    <cfRule type="cellIs" dxfId="5" priority="21" operator="greaterThan">
      <formula>10</formula>
    </cfRule>
    <cfRule type="cellIs" dxfId="4" priority="22" operator="greaterThan">
      <formula>3</formula>
    </cfRule>
  </conditionalFormatting>
  <conditionalFormatting sqref="M3:M29">
    <cfRule type="cellIs" dxfId="3" priority="2" operator="lessThan">
      <formula>0</formula>
    </cfRule>
  </conditionalFormatting>
  <conditionalFormatting sqref="O3:O29">
    <cfRule type="cellIs" dxfId="2" priority="1" operator="lessThan">
      <formula>0</formula>
    </cfRule>
  </conditionalFormatting>
  <conditionalFormatting sqref="X36:Y44 AE36:AJ44">
    <cfRule type="cellIs" dxfId="1" priority="45" operator="greaterThan">
      <formula>10</formula>
    </cfRule>
    <cfRule type="cellIs" dxfId="0" priority="46" operator="greaterThan">
      <formula>3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plasma</vt:lpstr>
      <vt:lpstr>feces</vt:lpstr>
      <vt:lpstr>urine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Frau Helena Junk</dc:creator>
  <cp:lastModifiedBy>Paraskevi Papakyriakopoulou</cp:lastModifiedBy>
  <dcterms:created xsi:type="dcterms:W3CDTF">2024-05-28T07:38:43Z</dcterms:created>
  <dcterms:modified xsi:type="dcterms:W3CDTF">2025-12-08T14:01:29Z</dcterms:modified>
</cp:coreProperties>
</file>