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60A5C96A-5257-3D4F-AEDF-824BD150000D}" xr6:coauthVersionLast="47" xr6:coauthVersionMax="47" xr10:uidLastSave="{00000000-0000-0000-0000-000000000000}"/>
  <bookViews>
    <workbookView xWindow="-4960" yWindow="-21600" windowWidth="38400" windowHeight="2160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" i="1"/>
  <c r="C3" i="1"/>
  <c r="C4" i="1"/>
  <c r="C5" i="1"/>
  <c r="C6" i="1"/>
  <c r="C7" i="1"/>
  <c r="C8" i="1"/>
  <c r="C10" i="1"/>
  <c r="C12" i="1"/>
  <c r="C13" i="1"/>
  <c r="C14" i="1"/>
  <c r="C17" i="1"/>
  <c r="C19" i="1"/>
  <c r="C20" i="1"/>
  <c r="C23" i="1"/>
  <c r="C24" i="1"/>
  <c r="C25" i="1"/>
  <c r="C28" i="1"/>
  <c r="C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3" i="1"/>
  <c r="E2" i="1"/>
  <c r="H17" i="1"/>
  <c r="H18" i="1"/>
  <c r="H19" i="1"/>
  <c r="H20" i="1"/>
  <c r="H21" i="1"/>
  <c r="H22" i="1"/>
  <c r="H23" i="1"/>
  <c r="H24" i="1"/>
  <c r="H25" i="1"/>
  <c r="H26" i="1"/>
  <c r="H27" i="1"/>
  <c r="H2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<sst xmlns="http://schemas.openxmlformats.org/spreadsheetml/2006/main" count="93" uniqueCount="14">
  <si>
    <t>Tissue</t>
  </si>
  <si>
    <t>Type</t>
  </si>
  <si>
    <t>Dose_ug</t>
  </si>
  <si>
    <t>oral</t>
  </si>
  <si>
    <t>Urine</t>
  </si>
  <si>
    <t>mode</t>
  </si>
  <si>
    <t>concentration (ug/L)</t>
  </si>
  <si>
    <t>Time_h</t>
  </si>
  <si>
    <t>urine_violume (L)</t>
  </si>
  <si>
    <t>single</t>
  </si>
  <si>
    <t>Mass_(ug)</t>
  </si>
  <si>
    <t>Excretion_(ug/h)</t>
  </si>
  <si>
    <t>DT</t>
  </si>
  <si>
    <t>LOQ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</si>
</sst>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O43"/>
  <sheetViews>
    <sheetView tabSelected="1" zoomScale="160" zoomScaleNormal="160" workbookViewId="0">
      <selection activeCell="D30" sqref="D30"/>
    </sheetView>
  </sheetViews>
  <sheetFormatPr baseColWidth="10" defaultRowHeight="15" x14ac:dyDescent="0.2"/>
  <cols>
    <col min="1" max="1" width="10.83203125" style="2"/>
    <col min="2" max="2" width="12.6640625" style="1" bestFit="1" customWidth="1"/>
    <col min="3" max="3" width="12.6640625" style="1" customWidth="1"/>
    <col min="4" max="5" width="15.5" style="1" customWidth="1"/>
    <col min="6" max="6" width="13.83203125" style="1" bestFit="1" customWidth="1"/>
    <col min="7" max="7" width="19.33203125" style="2" bestFit="1" customWidth="1"/>
    <col min="8" max="8" width="13.83203125" style="2" bestFit="1" customWidth="1"/>
    <col min="9" max="16384" width="10.83203125" style="2"/>
  </cols>
  <sheetData>
    <row r="1" spans="1:15" x14ac:dyDescent="0.2">
      <c r="A1" s="1" t="s">
        <v>0</v>
      </c>
      <c r="B1" s="1" t="s">
        <v>7</v>
      </c>
      <c r="C1" s="1" t="s">
        <v>10</v>
      </c>
      <c r="D1" s="1" t="s">
        <v>11</v>
      </c>
      <c r="E1" s="1" t="s">
        <v>12</v>
      </c>
      <c r="F1" s="1" t="s">
        <v>8</v>
      </c>
      <c r="G1" s="1" t="s">
        <v>6</v>
      </c>
      <c r="H1" s="4" t="s">
        <v>2</v>
      </c>
      <c r="I1" s="1" t="s">
        <v>1</v>
      </c>
      <c r="J1" s="1" t="s">
        <v>5</v>
      </c>
      <c r="K1" s="1"/>
      <c r="L1" s="1" t="s">
        <v>10</v>
      </c>
      <c r="M1" s="1" t="s">
        <v>13</v>
      </c>
      <c r="N1" s="1"/>
      <c r="O1" s="1"/>
    </row>
    <row r="2" spans="1:15" x14ac:dyDescent="0.2">
      <c r="A2" s="2" t="s">
        <v>4</v>
      </c>
      <c r="B2" s="8">
        <v>6</v>
      </c>
      <c r="C2" s="8">
        <f>D2*E2</f>
        <v>1.573011083455507E-4</v>
      </c>
      <c r="D2" s="8">
        <v>2.6216851390925118E-5</v>
      </c>
      <c r="E2" s="5">
        <f>B2</f>
        <v>6</v>
      </c>
      <c r="F2" s="12">
        <v>0.215</v>
      </c>
      <c r="G2" s="13">
        <v>7.3163306207232881E-4</v>
      </c>
      <c r="H2" s="6">
        <f>3.96</f>
        <v>3.96</v>
      </c>
      <c r="I2" s="1" t="s">
        <v>3</v>
      </c>
      <c r="J2" s="1" t="s">
        <v>9</v>
      </c>
      <c r="K2" s="7"/>
      <c r="L2" s="1">
        <f>G2*F2</f>
        <v>1.573011083455507E-4</v>
      </c>
      <c r="M2" s="1">
        <f>0.01*F2</f>
        <v>2.15E-3</v>
      </c>
      <c r="N2" s="3"/>
      <c r="O2" s="1"/>
    </row>
    <row r="3" spans="1:15" x14ac:dyDescent="0.2">
      <c r="A3" s="2" t="s">
        <v>4</v>
      </c>
      <c r="B3" s="8">
        <v>12</v>
      </c>
      <c r="C3" s="8">
        <f t="shared" ref="C3:C28" si="0">D3*E3</f>
        <v>8.5971499932616051E-6</v>
      </c>
      <c r="D3" s="8">
        <v>1.4328583322102676E-6</v>
      </c>
      <c r="E3" s="5">
        <f>B3-B2</f>
        <v>6</v>
      </c>
      <c r="F3" s="12">
        <v>0.28000000000000003</v>
      </c>
      <c r="G3" s="13">
        <v>3.0704107118791447E-5</v>
      </c>
      <c r="H3" s="6">
        <f t="shared" ref="H3:H28" si="1">3.96</f>
        <v>3.96</v>
      </c>
      <c r="I3" s="1" t="s">
        <v>3</v>
      </c>
      <c r="J3" s="1" t="s">
        <v>9</v>
      </c>
      <c r="K3" s="7"/>
      <c r="L3" s="1">
        <f t="shared" ref="L3:L28" si="2">G3*F3</f>
        <v>8.5971499932616051E-6</v>
      </c>
      <c r="M3" s="1">
        <f t="shared" ref="M3:M28" si="3">0.01*F3</f>
        <v>2.8000000000000004E-3</v>
      </c>
    </row>
    <row r="4" spans="1:15" x14ac:dyDescent="0.2">
      <c r="A4" s="2" t="s">
        <v>4</v>
      </c>
      <c r="B4" s="8">
        <v>18</v>
      </c>
      <c r="C4" s="8">
        <f t="shared" si="0"/>
        <v>5.1697226749873086E-5</v>
      </c>
      <c r="D4" s="8">
        <v>8.6162044583121804E-6</v>
      </c>
      <c r="E4" s="5">
        <f t="shared" ref="E4:E28" si="4">B4-B3</f>
        <v>6</v>
      </c>
      <c r="F4" s="12">
        <v>0.38600000000000001</v>
      </c>
      <c r="G4" s="13">
        <v>1.3393063924837587E-4</v>
      </c>
      <c r="H4" s="6">
        <f t="shared" si="1"/>
        <v>3.96</v>
      </c>
      <c r="I4" s="1" t="s">
        <v>3</v>
      </c>
      <c r="J4" s="1" t="s">
        <v>9</v>
      </c>
      <c r="K4" s="7"/>
      <c r="L4" s="1">
        <f t="shared" si="2"/>
        <v>5.1697226749873086E-5</v>
      </c>
      <c r="M4" s="1">
        <f t="shared" si="3"/>
        <v>3.8600000000000001E-3</v>
      </c>
    </row>
    <row r="5" spans="1:15" x14ac:dyDescent="0.2">
      <c r="A5" s="2" t="s">
        <v>4</v>
      </c>
      <c r="B5" s="8">
        <v>24</v>
      </c>
      <c r="C5" s="8">
        <f t="shared" si="0"/>
        <v>1.5189657583147747E-4</v>
      </c>
      <c r="D5" s="8">
        <v>2.5316095971912911E-5</v>
      </c>
      <c r="E5" s="5">
        <f t="shared" si="4"/>
        <v>6</v>
      </c>
      <c r="F5" s="12">
        <v>0.439</v>
      </c>
      <c r="G5" s="13">
        <v>3.4600586749767079E-4</v>
      </c>
      <c r="H5" s="6">
        <f t="shared" si="1"/>
        <v>3.96</v>
      </c>
      <c r="I5" s="1" t="s">
        <v>3</v>
      </c>
      <c r="J5" s="1" t="s">
        <v>9</v>
      </c>
      <c r="K5" s="7"/>
      <c r="L5" s="1">
        <f t="shared" si="2"/>
        <v>1.5189657583147747E-4</v>
      </c>
      <c r="M5" s="1">
        <f t="shared" si="3"/>
        <v>4.3899999999999998E-3</v>
      </c>
    </row>
    <row r="6" spans="1:15" x14ac:dyDescent="0.2">
      <c r="A6" s="2" t="s">
        <v>4</v>
      </c>
      <c r="B6" s="8">
        <v>30</v>
      </c>
      <c r="C6" s="8">
        <f t="shared" si="0"/>
        <v>3.565926601826448E-4</v>
      </c>
      <c r="D6" s="8">
        <v>5.9432110030440803E-5</v>
      </c>
      <c r="E6" s="5">
        <f t="shared" si="4"/>
        <v>6</v>
      </c>
      <c r="F6" s="12">
        <v>0.26</v>
      </c>
      <c r="G6" s="13">
        <v>1.3715102314717108E-3</v>
      </c>
      <c r="H6" s="6">
        <f t="shared" si="1"/>
        <v>3.96</v>
      </c>
      <c r="I6" s="1" t="s">
        <v>3</v>
      </c>
      <c r="J6" s="1" t="s">
        <v>9</v>
      </c>
      <c r="K6" s="7"/>
      <c r="L6" s="1">
        <f t="shared" si="2"/>
        <v>3.565926601826448E-4</v>
      </c>
      <c r="M6" s="1">
        <f t="shared" si="3"/>
        <v>2.6000000000000003E-3</v>
      </c>
    </row>
    <row r="7" spans="1:15" x14ac:dyDescent="0.2">
      <c r="A7" s="2" t="s">
        <v>4</v>
      </c>
      <c r="B7" s="8">
        <v>36</v>
      </c>
      <c r="C7" s="8">
        <f t="shared" si="0"/>
        <v>1.1708506724509793E-4</v>
      </c>
      <c r="D7" s="8">
        <v>1.9514177874182987E-5</v>
      </c>
      <c r="E7" s="5">
        <f t="shared" si="4"/>
        <v>6</v>
      </c>
      <c r="F7" s="12">
        <v>0.251</v>
      </c>
      <c r="G7" s="13">
        <v>4.6647437149441399E-4</v>
      </c>
      <c r="H7" s="6">
        <f t="shared" si="1"/>
        <v>3.96</v>
      </c>
      <c r="I7" s="1" t="s">
        <v>3</v>
      </c>
      <c r="J7" s="1" t="s">
        <v>9</v>
      </c>
      <c r="K7" s="7"/>
      <c r="L7" s="1">
        <f t="shared" si="2"/>
        <v>1.1708506724509791E-4</v>
      </c>
      <c r="M7" s="1">
        <f t="shared" si="3"/>
        <v>2.5100000000000001E-3</v>
      </c>
    </row>
    <row r="8" spans="1:15" x14ac:dyDescent="0.2">
      <c r="A8" s="2" t="s">
        <v>4</v>
      </c>
      <c r="B8" s="8">
        <v>42</v>
      </c>
      <c r="C8" s="8">
        <f t="shared" si="0"/>
        <v>7.7909746091245238E-5</v>
      </c>
      <c r="D8" s="8">
        <v>1.2984957681874207E-5</v>
      </c>
      <c r="E8" s="5">
        <f t="shared" si="4"/>
        <v>6</v>
      </c>
      <c r="F8" s="12">
        <v>0.371</v>
      </c>
      <c r="G8" s="13">
        <v>2.0999931560982546E-4</v>
      </c>
      <c r="H8" s="6">
        <f t="shared" si="1"/>
        <v>3.96</v>
      </c>
      <c r="I8" s="1" t="s">
        <v>3</v>
      </c>
      <c r="J8" s="1" t="s">
        <v>9</v>
      </c>
      <c r="K8" s="7"/>
      <c r="L8" s="1">
        <f t="shared" si="2"/>
        <v>7.7909746091245238E-5</v>
      </c>
      <c r="M8" s="1">
        <f t="shared" si="3"/>
        <v>3.7100000000000002E-3</v>
      </c>
    </row>
    <row r="9" spans="1:15" x14ac:dyDescent="0.2">
      <c r="A9" s="2" t="s">
        <v>4</v>
      </c>
      <c r="B9" s="8">
        <v>48</v>
      </c>
      <c r="C9" s="8">
        <v>5.0000000000000001E-3</v>
      </c>
      <c r="D9" s="8"/>
      <c r="E9" s="5">
        <f t="shared" si="4"/>
        <v>6</v>
      </c>
      <c r="F9" s="12">
        <v>0.5</v>
      </c>
      <c r="G9" s="13">
        <v>0</v>
      </c>
      <c r="H9" s="6">
        <f t="shared" si="1"/>
        <v>3.96</v>
      </c>
      <c r="I9" s="1" t="s">
        <v>3</v>
      </c>
      <c r="J9" s="1" t="s">
        <v>9</v>
      </c>
      <c r="K9" s="7"/>
      <c r="L9" s="1">
        <f t="shared" si="2"/>
        <v>0</v>
      </c>
      <c r="M9" s="1">
        <f t="shared" si="3"/>
        <v>5.0000000000000001E-3</v>
      </c>
    </row>
    <row r="10" spans="1:15" x14ac:dyDescent="0.2">
      <c r="A10" s="2" t="s">
        <v>4</v>
      </c>
      <c r="B10" s="8">
        <v>54</v>
      </c>
      <c r="C10" s="8">
        <f t="shared" si="0"/>
        <v>2.4828392352562682E-4</v>
      </c>
      <c r="D10" s="8">
        <v>4.1380653920937805E-5</v>
      </c>
      <c r="E10" s="5">
        <f t="shared" si="4"/>
        <v>6</v>
      </c>
      <c r="F10" s="12">
        <v>0.33</v>
      </c>
      <c r="G10" s="13">
        <v>7.5237552583523278E-4</v>
      </c>
      <c r="H10" s="6">
        <f t="shared" si="1"/>
        <v>3.96</v>
      </c>
      <c r="I10" s="1" t="s">
        <v>3</v>
      </c>
      <c r="J10" s="1" t="s">
        <v>9</v>
      </c>
      <c r="K10" s="7"/>
      <c r="L10" s="1">
        <f t="shared" si="2"/>
        <v>2.4828392352562682E-4</v>
      </c>
      <c r="M10" s="1">
        <f t="shared" si="3"/>
        <v>3.3000000000000004E-3</v>
      </c>
    </row>
    <row r="11" spans="1:15" x14ac:dyDescent="0.2">
      <c r="A11" s="2" t="s">
        <v>4</v>
      </c>
      <c r="B11" s="8">
        <v>60</v>
      </c>
      <c r="C11" s="8">
        <v>2.97E-3</v>
      </c>
      <c r="D11" s="8"/>
      <c r="E11" s="5">
        <f t="shared" si="4"/>
        <v>6</v>
      </c>
      <c r="F11" s="12">
        <v>0.29699999999999999</v>
      </c>
      <c r="G11" s="13">
        <v>0</v>
      </c>
      <c r="H11" s="6">
        <f t="shared" si="1"/>
        <v>3.96</v>
      </c>
      <c r="I11" s="1" t="s">
        <v>3</v>
      </c>
      <c r="J11" s="1" t="s">
        <v>9</v>
      </c>
      <c r="K11" s="7"/>
      <c r="L11" s="1">
        <f t="shared" si="2"/>
        <v>0</v>
      </c>
      <c r="M11" s="1">
        <f t="shared" si="3"/>
        <v>2.97E-3</v>
      </c>
    </row>
    <row r="12" spans="1:15" x14ac:dyDescent="0.2">
      <c r="A12" s="2" t="s">
        <v>4</v>
      </c>
      <c r="B12" s="8">
        <v>66</v>
      </c>
      <c r="C12" s="8">
        <f t="shared" si="0"/>
        <v>1.4159721435816068E-4</v>
      </c>
      <c r="D12" s="8">
        <v>2.3599535726360113E-5</v>
      </c>
      <c r="E12" s="5">
        <f t="shared" si="4"/>
        <v>6</v>
      </c>
      <c r="F12" s="12">
        <v>0.22500000000000001</v>
      </c>
      <c r="G12" s="13">
        <v>6.2932095270293634E-4</v>
      </c>
      <c r="H12" s="6">
        <f t="shared" si="1"/>
        <v>3.96</v>
      </c>
      <c r="I12" s="1" t="s">
        <v>3</v>
      </c>
      <c r="J12" s="1" t="s">
        <v>9</v>
      </c>
      <c r="K12" s="7"/>
      <c r="L12" s="1">
        <f t="shared" si="2"/>
        <v>1.4159721435816068E-4</v>
      </c>
      <c r="M12" s="1">
        <f t="shared" si="3"/>
        <v>2.2500000000000003E-3</v>
      </c>
    </row>
    <row r="13" spans="1:15" x14ac:dyDescent="0.2">
      <c r="A13" s="2" t="s">
        <v>4</v>
      </c>
      <c r="B13" s="8">
        <v>72</v>
      </c>
      <c r="C13" s="8">
        <f t="shared" si="0"/>
        <v>1.8877759932481007E-4</v>
      </c>
      <c r="D13" s="8">
        <v>3.1462933220801679E-5</v>
      </c>
      <c r="E13" s="5">
        <f t="shared" si="4"/>
        <v>6</v>
      </c>
      <c r="F13" s="12">
        <v>0.35399999999999998</v>
      </c>
      <c r="G13" s="13">
        <v>5.3327005458985897E-4</v>
      </c>
      <c r="H13" s="6">
        <f t="shared" si="1"/>
        <v>3.96</v>
      </c>
      <c r="I13" s="1" t="s">
        <v>3</v>
      </c>
      <c r="J13" s="1" t="s">
        <v>9</v>
      </c>
      <c r="K13" s="7"/>
      <c r="L13" s="1">
        <f t="shared" si="2"/>
        <v>1.8877759932481007E-4</v>
      </c>
      <c r="M13" s="1">
        <f t="shared" si="3"/>
        <v>3.5399999999999997E-3</v>
      </c>
    </row>
    <row r="14" spans="1:15" x14ac:dyDescent="0.2">
      <c r="A14" s="2" t="s">
        <v>4</v>
      </c>
      <c r="B14" s="8">
        <v>78</v>
      </c>
      <c r="C14" s="8">
        <f t="shared" si="0"/>
        <v>4.1625799552956518E-6</v>
      </c>
      <c r="D14" s="8">
        <v>6.9376332588260863E-7</v>
      </c>
      <c r="E14" s="5">
        <f t="shared" si="4"/>
        <v>6</v>
      </c>
      <c r="F14" s="12">
        <v>0.77700000000000002</v>
      </c>
      <c r="G14" s="13">
        <v>5.3572457597112635E-6</v>
      </c>
      <c r="H14" s="6">
        <f t="shared" si="1"/>
        <v>3.96</v>
      </c>
      <c r="I14" s="1" t="s">
        <v>3</v>
      </c>
      <c r="J14" s="1" t="s">
        <v>9</v>
      </c>
      <c r="K14" s="7"/>
      <c r="L14" s="1">
        <f t="shared" si="2"/>
        <v>4.1625799552956518E-6</v>
      </c>
      <c r="M14" s="1">
        <f t="shared" si="3"/>
        <v>7.77E-3</v>
      </c>
    </row>
    <row r="15" spans="1:15" x14ac:dyDescent="0.2">
      <c r="A15" s="2" t="s">
        <v>4</v>
      </c>
      <c r="B15" s="8">
        <v>84</v>
      </c>
      <c r="C15" s="8">
        <v>5.7799999999999995E-3</v>
      </c>
      <c r="D15" s="8"/>
      <c r="E15" s="5">
        <f t="shared" si="4"/>
        <v>6</v>
      </c>
      <c r="F15" s="12">
        <v>0.57799999999999996</v>
      </c>
      <c r="G15" s="13">
        <v>0</v>
      </c>
      <c r="H15" s="6">
        <f t="shared" si="1"/>
        <v>3.96</v>
      </c>
      <c r="I15" s="1" t="s">
        <v>3</v>
      </c>
      <c r="J15" s="1" t="s">
        <v>9</v>
      </c>
      <c r="K15" s="7"/>
      <c r="L15" s="1">
        <f t="shared" si="2"/>
        <v>0</v>
      </c>
      <c r="M15" s="1">
        <f t="shared" si="3"/>
        <v>5.7799999999999995E-3</v>
      </c>
    </row>
    <row r="16" spans="1:15" x14ac:dyDescent="0.2">
      <c r="A16" s="2" t="s">
        <v>4</v>
      </c>
      <c r="B16" s="8">
        <v>90</v>
      </c>
      <c r="C16" s="8">
        <v>3.8800000000000002E-3</v>
      </c>
      <c r="D16" s="8"/>
      <c r="E16" s="5">
        <f t="shared" si="4"/>
        <v>6</v>
      </c>
      <c r="F16" s="12">
        <v>0.38800000000000001</v>
      </c>
      <c r="G16" s="13">
        <v>0</v>
      </c>
      <c r="H16" s="6">
        <f t="shared" si="1"/>
        <v>3.96</v>
      </c>
      <c r="I16" s="1" t="s">
        <v>3</v>
      </c>
      <c r="J16" s="1" t="s">
        <v>9</v>
      </c>
      <c r="K16" s="7"/>
      <c r="L16" s="1">
        <f t="shared" si="2"/>
        <v>0</v>
      </c>
      <c r="M16" s="1">
        <f t="shared" si="3"/>
        <v>3.8800000000000002E-3</v>
      </c>
    </row>
    <row r="17" spans="1:13" x14ac:dyDescent="0.2">
      <c r="A17" s="2" t="s">
        <v>4</v>
      </c>
      <c r="B17" s="8">
        <v>96</v>
      </c>
      <c r="C17" s="8">
        <f t="shared" si="0"/>
        <v>1.0419401994328725E-4</v>
      </c>
      <c r="D17" s="8">
        <v>1.7365669990547875E-5</v>
      </c>
      <c r="E17" s="5">
        <f t="shared" si="4"/>
        <v>6</v>
      </c>
      <c r="F17" s="12">
        <v>0.504</v>
      </c>
      <c r="G17" s="13">
        <v>2.0673416655414136E-4</v>
      </c>
      <c r="H17" s="6">
        <f t="shared" si="1"/>
        <v>3.96</v>
      </c>
      <c r="I17" s="1" t="s">
        <v>3</v>
      </c>
      <c r="J17" s="1" t="s">
        <v>9</v>
      </c>
      <c r="K17" s="7"/>
      <c r="L17" s="1">
        <f t="shared" si="2"/>
        <v>1.0419401994328724E-4</v>
      </c>
      <c r="M17" s="1">
        <f t="shared" si="3"/>
        <v>5.0400000000000002E-3</v>
      </c>
    </row>
    <row r="18" spans="1:13" x14ac:dyDescent="0.2">
      <c r="A18" s="2" t="s">
        <v>4</v>
      </c>
      <c r="B18" s="8">
        <v>102</v>
      </c>
      <c r="C18" s="8">
        <v>1.7699999999999999E-3</v>
      </c>
      <c r="D18" s="8"/>
      <c r="E18" s="5">
        <f t="shared" si="4"/>
        <v>6</v>
      </c>
      <c r="F18" s="12">
        <v>0.17699999999999999</v>
      </c>
      <c r="G18" s="13">
        <v>0</v>
      </c>
      <c r="H18" s="6">
        <f t="shared" si="1"/>
        <v>3.96</v>
      </c>
      <c r="I18" s="1" t="s">
        <v>3</v>
      </c>
      <c r="J18" s="1" t="s">
        <v>9</v>
      </c>
      <c r="K18" s="7"/>
      <c r="L18" s="1">
        <f t="shared" si="2"/>
        <v>0</v>
      </c>
      <c r="M18" s="1">
        <f t="shared" si="3"/>
        <v>1.7699999999999999E-3</v>
      </c>
    </row>
    <row r="19" spans="1:13" x14ac:dyDescent="0.2">
      <c r="A19" s="2" t="s">
        <v>4</v>
      </c>
      <c r="B19" s="8">
        <v>108</v>
      </c>
      <c r="C19" s="8">
        <f t="shared" si="0"/>
        <v>1.3004509545977994E-4</v>
      </c>
      <c r="D19" s="8">
        <v>2.1674182576629989E-5</v>
      </c>
      <c r="E19" s="5">
        <f t="shared" si="4"/>
        <v>6</v>
      </c>
      <c r="F19" s="12">
        <v>0.26900000000000002</v>
      </c>
      <c r="G19" s="13">
        <v>4.834390165791075E-4</v>
      </c>
      <c r="H19" s="6">
        <f t="shared" si="1"/>
        <v>3.96</v>
      </c>
      <c r="I19" s="1" t="s">
        <v>3</v>
      </c>
      <c r="J19" s="1" t="s">
        <v>9</v>
      </c>
      <c r="K19" s="7"/>
      <c r="L19" s="1">
        <f t="shared" si="2"/>
        <v>1.3004509545977994E-4</v>
      </c>
      <c r="M19" s="1">
        <f t="shared" si="3"/>
        <v>2.6900000000000001E-3</v>
      </c>
    </row>
    <row r="20" spans="1:13" x14ac:dyDescent="0.2">
      <c r="A20" s="2" t="s">
        <v>4</v>
      </c>
      <c r="B20" s="8">
        <v>120</v>
      </c>
      <c r="C20" s="8">
        <f t="shared" si="0"/>
        <v>2.2079877373386408E-4</v>
      </c>
      <c r="D20" s="8">
        <v>1.839989781115534E-5</v>
      </c>
      <c r="E20" s="5">
        <f t="shared" si="4"/>
        <v>12</v>
      </c>
      <c r="F20" s="12">
        <v>0.66800000000000004</v>
      </c>
      <c r="G20" s="13">
        <v>3.3053708642794021E-4</v>
      </c>
      <c r="H20" s="6">
        <f t="shared" si="1"/>
        <v>3.96</v>
      </c>
      <c r="I20" s="1" t="s">
        <v>3</v>
      </c>
      <c r="J20" s="1" t="s">
        <v>9</v>
      </c>
      <c r="L20" s="1">
        <f t="shared" si="2"/>
        <v>2.2079877373386408E-4</v>
      </c>
      <c r="M20" s="1">
        <f t="shared" si="3"/>
        <v>6.6800000000000002E-3</v>
      </c>
    </row>
    <row r="21" spans="1:13" x14ac:dyDescent="0.2">
      <c r="A21" s="2" t="s">
        <v>4</v>
      </c>
      <c r="B21" s="8">
        <v>132</v>
      </c>
      <c r="C21" s="8">
        <v>7.7100000000000007E-3</v>
      </c>
      <c r="D21" s="8"/>
      <c r="E21" s="5">
        <f t="shared" si="4"/>
        <v>12</v>
      </c>
      <c r="F21" s="12">
        <v>0.77100000000000002</v>
      </c>
      <c r="G21" s="13">
        <v>0</v>
      </c>
      <c r="H21" s="6">
        <f t="shared" si="1"/>
        <v>3.96</v>
      </c>
      <c r="I21" s="1" t="s">
        <v>3</v>
      </c>
      <c r="J21" s="1" t="s">
        <v>9</v>
      </c>
      <c r="L21" s="1">
        <f t="shared" si="2"/>
        <v>0</v>
      </c>
      <c r="M21" s="1">
        <f t="shared" si="3"/>
        <v>7.7100000000000007E-3</v>
      </c>
    </row>
    <row r="22" spans="1:13" x14ac:dyDescent="0.2">
      <c r="A22" s="2" t="s">
        <v>4</v>
      </c>
      <c r="B22" s="8">
        <v>144</v>
      </c>
      <c r="C22" s="8">
        <v>1.0280000000000001E-2</v>
      </c>
      <c r="D22" s="8"/>
      <c r="E22" s="5">
        <f t="shared" si="4"/>
        <v>12</v>
      </c>
      <c r="F22" s="12">
        <v>1.028</v>
      </c>
      <c r="G22" s="13">
        <v>0</v>
      </c>
      <c r="H22" s="6">
        <f t="shared" si="1"/>
        <v>3.96</v>
      </c>
      <c r="I22" s="1" t="s">
        <v>3</v>
      </c>
      <c r="J22" s="1" t="s">
        <v>9</v>
      </c>
      <c r="L22" s="1">
        <f t="shared" si="2"/>
        <v>0</v>
      </c>
      <c r="M22" s="1">
        <f t="shared" si="3"/>
        <v>1.0280000000000001E-2</v>
      </c>
    </row>
    <row r="23" spans="1:13" x14ac:dyDescent="0.2">
      <c r="A23" s="2" t="s">
        <v>4</v>
      </c>
      <c r="B23" s="8">
        <v>576</v>
      </c>
      <c r="C23" s="8">
        <f t="shared" si="0"/>
        <v>1.9499284402919625E-3</v>
      </c>
      <c r="D23" s="8">
        <v>4.5137232414165797E-6</v>
      </c>
      <c r="E23" s="5">
        <f t="shared" si="4"/>
        <v>432</v>
      </c>
      <c r="F23" s="12">
        <v>1.149</v>
      </c>
      <c r="G23" s="13">
        <v>4.7140712704089599E-5</v>
      </c>
      <c r="H23" s="6">
        <f t="shared" si="1"/>
        <v>3.96</v>
      </c>
      <c r="I23" s="1" t="s">
        <v>3</v>
      </c>
      <c r="J23" s="1" t="s">
        <v>9</v>
      </c>
      <c r="L23" s="1">
        <f t="shared" si="2"/>
        <v>5.4164678896998953E-5</v>
      </c>
      <c r="M23" s="1">
        <f t="shared" si="3"/>
        <v>1.149E-2</v>
      </c>
    </row>
    <row r="24" spans="1:13" x14ac:dyDescent="0.2">
      <c r="A24" s="2" t="s">
        <v>4</v>
      </c>
      <c r="B24" s="8">
        <v>588</v>
      </c>
      <c r="C24" s="8">
        <f t="shared" si="0"/>
        <v>4.8129302338996319E-4</v>
      </c>
      <c r="D24" s="8">
        <v>4.0107751949163601E-5</v>
      </c>
      <c r="E24" s="5">
        <f t="shared" si="4"/>
        <v>12</v>
      </c>
      <c r="F24" s="12">
        <v>0.86499999999999999</v>
      </c>
      <c r="G24" s="13">
        <v>5.5640811952596908E-4</v>
      </c>
      <c r="H24" s="6">
        <f t="shared" si="1"/>
        <v>3.96</v>
      </c>
      <c r="I24" s="1" t="s">
        <v>3</v>
      </c>
      <c r="J24" s="1" t="s">
        <v>9</v>
      </c>
      <c r="L24" s="1">
        <f t="shared" si="2"/>
        <v>4.8129302338996324E-4</v>
      </c>
      <c r="M24" s="1">
        <f t="shared" si="3"/>
        <v>8.6499999999999997E-3</v>
      </c>
    </row>
    <row r="25" spans="1:13" x14ac:dyDescent="0.2">
      <c r="A25" s="2" t="s">
        <v>4</v>
      </c>
      <c r="B25" s="8">
        <v>864</v>
      </c>
      <c r="C25" s="8">
        <f t="shared" si="0"/>
        <v>6.9024902332733883E-3</v>
      </c>
      <c r="D25" s="8">
        <v>2.500902258432387E-5</v>
      </c>
      <c r="E25" s="5">
        <f t="shared" si="4"/>
        <v>276</v>
      </c>
      <c r="F25" s="12">
        <v>0.67400000000000004</v>
      </c>
      <c r="G25" s="13">
        <v>4.4526449705027655E-4</v>
      </c>
      <c r="H25" s="6">
        <f t="shared" si="1"/>
        <v>3.96</v>
      </c>
      <c r="I25" s="1" t="s">
        <v>3</v>
      </c>
      <c r="J25" s="1" t="s">
        <v>9</v>
      </c>
      <c r="L25" s="1">
        <f t="shared" si="2"/>
        <v>3.0010827101188643E-4</v>
      </c>
      <c r="M25" s="1">
        <f t="shared" si="3"/>
        <v>6.7400000000000003E-3</v>
      </c>
    </row>
    <row r="26" spans="1:13" x14ac:dyDescent="0.2">
      <c r="A26" s="2" t="s">
        <v>4</v>
      </c>
      <c r="B26" s="8">
        <v>876</v>
      </c>
      <c r="C26" s="8">
        <v>1.448E-2</v>
      </c>
      <c r="D26" s="8"/>
      <c r="E26" s="5">
        <f t="shared" si="4"/>
        <v>12</v>
      </c>
      <c r="F26" s="12">
        <v>1.448</v>
      </c>
      <c r="G26" s="13">
        <v>0</v>
      </c>
      <c r="H26" s="6">
        <f t="shared" si="1"/>
        <v>3.96</v>
      </c>
      <c r="I26" s="1" t="s">
        <v>3</v>
      </c>
      <c r="J26" s="1" t="s">
        <v>9</v>
      </c>
      <c r="L26" s="1">
        <f t="shared" si="2"/>
        <v>0</v>
      </c>
      <c r="M26" s="1">
        <f t="shared" si="3"/>
        <v>1.448E-2</v>
      </c>
    </row>
    <row r="27" spans="1:13" x14ac:dyDescent="0.2">
      <c r="A27" s="2" t="s">
        <v>4</v>
      </c>
      <c r="B27" s="8">
        <v>2400</v>
      </c>
      <c r="C27" s="8">
        <v>3.6900000000000001E-3</v>
      </c>
      <c r="D27" s="8"/>
      <c r="E27" s="5">
        <f t="shared" si="4"/>
        <v>1524</v>
      </c>
      <c r="F27" s="12">
        <v>0.36899999999999999</v>
      </c>
      <c r="G27" s="13">
        <v>0</v>
      </c>
      <c r="H27" s="6">
        <f t="shared" si="1"/>
        <v>3.96</v>
      </c>
      <c r="I27" s="1" t="s">
        <v>3</v>
      </c>
      <c r="J27" s="1" t="s">
        <v>9</v>
      </c>
      <c r="L27" s="1">
        <f t="shared" si="2"/>
        <v>0</v>
      </c>
      <c r="M27" s="1">
        <f t="shared" si="3"/>
        <v>3.6900000000000001E-3</v>
      </c>
    </row>
    <row r="28" spans="1:13" x14ac:dyDescent="0.2">
      <c r="A28" s="10" t="s">
        <v>4</v>
      </c>
      <c r="B28" s="11">
        <v>2412</v>
      </c>
      <c r="C28" s="8">
        <f t="shared" si="0"/>
        <v>2.6439156928888334E-4</v>
      </c>
      <c r="D28" s="11">
        <v>2.203263077407361E-5</v>
      </c>
      <c r="E28" s="5">
        <f t="shared" si="4"/>
        <v>12</v>
      </c>
      <c r="F28" s="1">
        <v>0.46800000000000003</v>
      </c>
      <c r="G28" s="9">
        <v>5.6493925061727203E-4</v>
      </c>
      <c r="H28" s="1">
        <f t="shared" si="1"/>
        <v>3.96</v>
      </c>
      <c r="I28" s="1" t="s">
        <v>3</v>
      </c>
      <c r="J28" s="1" t="s">
        <v>9</v>
      </c>
      <c r="K28" s="1"/>
      <c r="L28" s="1">
        <f t="shared" si="2"/>
        <v>2.6439156928888334E-4</v>
      </c>
      <c r="M28" s="1">
        <f t="shared" si="3"/>
        <v>4.6800000000000001E-3</v>
      </c>
    </row>
    <row r="29" spans="1:13" x14ac:dyDescent="0.2">
      <c r="A29" s="1"/>
      <c r="G29" s="1"/>
      <c r="H29" s="1"/>
      <c r="I29" s="1"/>
      <c r="J29" s="1"/>
      <c r="K29" s="1"/>
      <c r="L29" s="1"/>
    </row>
    <row r="30" spans="1:13" x14ac:dyDescent="0.2">
      <c r="A30" s="1"/>
      <c r="G30" s="1"/>
      <c r="H30" s="1"/>
      <c r="I30" s="1"/>
      <c r="J30" s="1"/>
      <c r="K30" s="1"/>
      <c r="L30" s="1"/>
    </row>
    <row r="31" spans="1:13" x14ac:dyDescent="0.2">
      <c r="A31" s="1"/>
      <c r="G31" s="1"/>
    </row>
    <row r="32" spans="1:13" x14ac:dyDescent="0.2">
      <c r="A32" s="1"/>
      <c r="G32" s="1"/>
    </row>
    <row r="33" spans="1:7" x14ac:dyDescent="0.2">
      <c r="A33" s="1"/>
      <c r="G33" s="1"/>
    </row>
    <row r="34" spans="1:7" x14ac:dyDescent="0.2">
      <c r="A34" s="1"/>
      <c r="G34" s="1"/>
    </row>
    <row r="35" spans="1:7" x14ac:dyDescent="0.2">
      <c r="A35" s="1"/>
      <c r="G35" s="1"/>
    </row>
    <row r="36" spans="1:7" x14ac:dyDescent="0.2">
      <c r="A36" s="1"/>
      <c r="G36" s="1"/>
    </row>
    <row r="37" spans="1:7" x14ac:dyDescent="0.2">
      <c r="A37" s="1"/>
      <c r="G37" s="1"/>
    </row>
    <row r="38" spans="1:7" x14ac:dyDescent="0.2">
      <c r="A38" s="1"/>
      <c r="G38" s="1"/>
    </row>
    <row r="39" spans="1:7" x14ac:dyDescent="0.2">
      <c r="A39" s="1"/>
      <c r="G39" s="1"/>
    </row>
    <row r="40" spans="1:7" x14ac:dyDescent="0.2">
      <c r="A40" s="1"/>
      <c r="G40" s="1"/>
    </row>
    <row r="41" spans="1:7" x14ac:dyDescent="0.2">
      <c r="A41" s="1"/>
      <c r="G41" s="1"/>
    </row>
    <row r="42" spans="1:7" x14ac:dyDescent="0.2">
      <c r="A42" s="1"/>
      <c r="G42" s="1"/>
    </row>
    <row r="43" spans="1:7" x14ac:dyDescent="0.2">
      <c r="A43" s="1"/>
      <c r="G43" s="1"/>
    </row>
  </sheetData>
  <conditionalFormatting sqref="G2:G27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2025-12-10T13:07:06Z</dcterms:modified>
</cp:coreProperties>
</file>