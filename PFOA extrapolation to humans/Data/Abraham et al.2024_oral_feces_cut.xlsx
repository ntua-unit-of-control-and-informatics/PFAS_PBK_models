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PFAS_PBK_models/PFOA extrapolation to humans/Data/"/>
    </mc:Choice>
  </mc:AlternateContent>
  <xr:revisionPtr revIDLastSave="0" documentId="13_ncr:1_{82E38D37-1012-7447-820F-5574E804C494}" xr6:coauthVersionLast="47" xr6:coauthVersionMax="47" xr10:uidLastSave="{00000000-0000-0000-0000-000000000000}"/>
  <bookViews>
    <workbookView xWindow="420" yWindow="-19480" windowWidth="28340" windowHeight="184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  <c r="F2" i="1"/>
</calcChain>
</file>

<file path=xl/sharedStrings.xml><?xml version="1.0" encoding="utf-8"?>
<sst xmlns="http://schemas.openxmlformats.org/spreadsheetml/2006/main" count="26" uniqueCount="11">
  <si>
    <t>Tissue</t>
  </si>
  <si>
    <t>Type</t>
  </si>
  <si>
    <t>Dose_ug</t>
  </si>
  <si>
    <t>oral</t>
  </si>
  <si>
    <t>Feces</t>
  </si>
  <si>
    <t>feces_mass (g)</t>
  </si>
  <si>
    <t>concentration (ng/g)</t>
  </si>
  <si>
    <t>mode</t>
  </si>
  <si>
    <t>Time_h</t>
  </si>
  <si>
    <t>Mass_(ng)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</si>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</sst>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P7"/>
  <sheetViews>
    <sheetView tabSelected="1" zoomScale="112" zoomScaleNormal="112" workbookViewId="0">
      <selection activeCell="C30" sqref="C30"/>
    </sheetView>
  </sheetViews>
  <sheetFormatPr baseColWidth="10" defaultRowHeight="15" x14ac:dyDescent="0.2"/>
  <cols>
    <col min="1" max="1" width="10.83203125" style="3"/>
    <col min="2" max="2" width="12.6640625" style="2" bestFit="1" customWidth="1"/>
    <col min="3" max="4" width="12.6640625" style="2" customWidth="1"/>
    <col min="5" max="5" width="19.33203125" style="3" customWidth="1"/>
    <col min="6" max="6" width="13.83203125" style="3" bestFit="1" customWidth="1"/>
    <col min="7" max="16384" width="10.83203125" style="3"/>
  </cols>
  <sheetData>
    <row r="1" spans="1:16" x14ac:dyDescent="0.2">
      <c r="A1" s="2" t="s">
        <v>0</v>
      </c>
      <c r="B1" s="2" t="s">
        <v>8</v>
      </c>
      <c r="C1" s="2" t="s">
        <v>9</v>
      </c>
      <c r="D1" s="2" t="s">
        <v>5</v>
      </c>
      <c r="E1" s="2" t="s">
        <v>6</v>
      </c>
      <c r="F1" s="1" t="s">
        <v>2</v>
      </c>
      <c r="G1" s="2" t="s">
        <v>1</v>
      </c>
      <c r="H1" s="2" t="s">
        <v>7</v>
      </c>
      <c r="I1" s="2"/>
      <c r="K1" s="2"/>
      <c r="L1" s="2"/>
    </row>
    <row r="2" spans="1:16" ht="16" x14ac:dyDescent="0.2">
      <c r="A2" s="3" t="s">
        <v>4</v>
      </c>
      <c r="B2" s="6">
        <v>24</v>
      </c>
      <c r="C2" s="7">
        <f>D2*E2</f>
        <v>0.6115149240364145</v>
      </c>
      <c r="D2" s="2">
        <v>260</v>
      </c>
      <c r="E2" s="9">
        <v>2.3519804770631325E-3</v>
      </c>
      <c r="F2" s="5">
        <f>3.96*0.04/100</f>
        <v>1.5840000000000001E-3</v>
      </c>
      <c r="G2" s="2" t="s">
        <v>3</v>
      </c>
      <c r="H2" s="2" t="s">
        <v>10</v>
      </c>
      <c r="I2" s="2"/>
      <c r="K2" s="4"/>
      <c r="L2" s="2"/>
    </row>
    <row r="3" spans="1:16" ht="16" x14ac:dyDescent="0.2">
      <c r="A3" s="3" t="s">
        <v>4</v>
      </c>
      <c r="B3" s="6">
        <v>48</v>
      </c>
      <c r="C3" s="7">
        <f t="shared" ref="C3:C7" si="0">D3*E3</f>
        <v>0.60388741183260231</v>
      </c>
      <c r="D3" s="2">
        <v>162</v>
      </c>
      <c r="E3" s="9">
        <v>3.7277000730407549E-3</v>
      </c>
      <c r="F3" s="5">
        <v>1.5840000000000001E-3</v>
      </c>
      <c r="G3" s="2" t="s">
        <v>3</v>
      </c>
      <c r="H3" s="2" t="s">
        <v>10</v>
      </c>
      <c r="I3" s="2"/>
      <c r="K3" s="2"/>
      <c r="L3" s="2"/>
    </row>
    <row r="4" spans="1:16" ht="16" x14ac:dyDescent="0.2">
      <c r="A4" s="3" t="s">
        <v>4</v>
      </c>
      <c r="B4" s="6">
        <v>72</v>
      </c>
      <c r="C4" s="7">
        <f t="shared" si="0"/>
        <v>0.47049627352340628</v>
      </c>
      <c r="D4" s="2">
        <v>328</v>
      </c>
      <c r="E4" s="9">
        <v>1.434439858303068E-3</v>
      </c>
      <c r="F4" s="5">
        <v>1.5840000000000001E-3</v>
      </c>
      <c r="G4" s="2" t="s">
        <v>3</v>
      </c>
      <c r="H4" s="2" t="s">
        <v>10</v>
      </c>
      <c r="I4" s="2"/>
      <c r="L4" s="2"/>
    </row>
    <row r="5" spans="1:16" ht="16" x14ac:dyDescent="0.2">
      <c r="A5" s="3" t="s">
        <v>4</v>
      </c>
      <c r="B5" s="6">
        <v>96</v>
      </c>
      <c r="C5" s="7">
        <f t="shared" si="0"/>
        <v>0.51750168663250129</v>
      </c>
      <c r="D5" s="2">
        <v>202</v>
      </c>
      <c r="E5" s="9">
        <v>2.5618895377846596E-3</v>
      </c>
      <c r="F5" s="5">
        <v>1.5840000000000001E-3</v>
      </c>
      <c r="G5" s="2" t="s">
        <v>3</v>
      </c>
      <c r="H5" s="2" t="s">
        <v>10</v>
      </c>
      <c r="I5" s="2"/>
      <c r="L5" s="2"/>
    </row>
    <row r="6" spans="1:16" ht="16" x14ac:dyDescent="0.2">
      <c r="A6" s="3" t="s">
        <v>4</v>
      </c>
      <c r="B6" s="6">
        <v>120</v>
      </c>
      <c r="C6" s="7">
        <f t="shared" si="0"/>
        <v>0.6680692063407031</v>
      </c>
      <c r="D6" s="2">
        <v>248</v>
      </c>
      <c r="E6" s="9">
        <v>2.69382744492219E-3</v>
      </c>
      <c r="F6" s="5">
        <v>1.5840000000000001E-3</v>
      </c>
      <c r="G6" s="2" t="s">
        <v>3</v>
      </c>
      <c r="H6" s="2" t="s">
        <v>10</v>
      </c>
      <c r="I6" s="2"/>
      <c r="L6" s="2"/>
      <c r="M6" s="6"/>
      <c r="N6" s="7"/>
      <c r="O6" s="6"/>
      <c r="P6" s="8"/>
    </row>
    <row r="7" spans="1:16" ht="16" x14ac:dyDescent="0.2">
      <c r="A7" s="3" t="s">
        <v>4</v>
      </c>
      <c r="B7" s="6">
        <v>144</v>
      </c>
      <c r="C7" s="7">
        <f t="shared" si="0"/>
        <v>0.4149654833040059</v>
      </c>
      <c r="D7" s="2">
        <v>90</v>
      </c>
      <c r="E7" s="9">
        <v>4.6107275922667324E-3</v>
      </c>
      <c r="F7" s="5">
        <v>1.5840000000000001E-3</v>
      </c>
      <c r="G7" s="2" t="s">
        <v>3</v>
      </c>
      <c r="H7" s="2" t="s">
        <v>10</v>
      </c>
      <c r="I7" s="2"/>
      <c r="L7" s="2"/>
      <c r="M7" s="6"/>
      <c r="N7" s="7"/>
      <c r="O7" s="6"/>
      <c r="P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2025-12-12T11:11:05Z</dcterms:modified>
</cp:coreProperties>
</file>